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2C981FCF-4B2A-476F-8763-56FDA49DBE7D}" xr6:coauthVersionLast="47" xr6:coauthVersionMax="47" xr10:uidLastSave="{00000000-0000-0000-0000-000000000000}"/>
  <bookViews>
    <workbookView xWindow="-108" yWindow="-108" windowWidth="23256" windowHeight="12456" activeTab="7" xr2:uid="{5B0F20A8-D85E-4893-B8F6-1752AA327421}"/>
  </bookViews>
  <sheets>
    <sheet name="Raw_data" sheetId="1" r:id="rId1"/>
    <sheet name="Category" sheetId="2" r:id="rId2"/>
    <sheet name="Clean_Data" sheetId="3" r:id="rId3"/>
    <sheet name="Pivot_1" sheetId="5" r:id="rId4"/>
    <sheet name="Pivot_2" sheetId="8" r:id="rId5"/>
    <sheet name="Pivot_3" sheetId="9" r:id="rId6"/>
    <sheet name="Pivot_4" sheetId="10" r:id="rId7"/>
    <sheet name="Sales_Dashboard" sheetId="11" r:id="rId8"/>
  </sheets>
  <definedNames>
    <definedName name="ExternalData_1" localSheetId="2" hidden="1">Clean_Data!$A$1:$M$121</definedName>
    <definedName name="Slicer_Category">#N/A</definedName>
    <definedName name="Slicer_Region">#N/A</definedName>
    <definedName name="Slicer_Year_Month">#N/A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3" l="1"/>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O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G1" i="11"/>
  <c r="E1" i="11"/>
  <c r="C1" i="11"/>
  <c r="A1"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97C5AB-C616-4FD9-BD54-F4043220E6B9}"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<sst xmlns="http://schemas.openxmlformats.org/spreadsheetml/2006/main" count="1516" uniqueCount="296">
  <si>
    <t>Order_ID</t>
  </si>
  <si>
    <t>Order_Date</t>
  </si>
  <si>
    <t>Region</t>
  </si>
  <si>
    <t>City</t>
  </si>
  <si>
    <t>Salesperson</t>
  </si>
  <si>
    <t>Product</t>
  </si>
  <si>
    <t>Category</t>
  </si>
  <si>
    <t>Quantity</t>
  </si>
  <si>
    <t>Unit_Price</t>
  </si>
  <si>
    <t>Discount</t>
  </si>
  <si>
    <t>Sales</t>
  </si>
  <si>
    <t>ORD001</t>
  </si>
  <si>
    <t>North</t>
  </si>
  <si>
    <t>Delhi</t>
  </si>
  <si>
    <t>Rahul</t>
  </si>
  <si>
    <t>LED TV</t>
  </si>
  <si>
    <t>Electronics</t>
  </si>
  <si>
    <t>ORD002</t>
  </si>
  <si>
    <t>north</t>
  </si>
  <si>
    <t>Amit</t>
  </si>
  <si>
    <t>Mobile Phone</t>
  </si>
  <si>
    <t>ORD003</t>
  </si>
  <si>
    <t>SOUTH</t>
  </si>
  <si>
    <t>Chennai</t>
  </si>
  <si>
    <t>Suresh</t>
  </si>
  <si>
    <t>Refrigerator</t>
  </si>
  <si>
    <t>ORD004</t>
  </si>
  <si>
    <t>South</t>
  </si>
  <si>
    <t>Bangalore</t>
  </si>
  <si>
    <t>Ramesh</t>
  </si>
  <si>
    <t>Washing Machine</t>
  </si>
  <si>
    <t>ORD005</t>
  </si>
  <si>
    <t>East</t>
  </si>
  <si>
    <t>Kolkata</t>
  </si>
  <si>
    <t>Anita</t>
  </si>
  <si>
    <t>Microwave</t>
  </si>
  <si>
    <t>ORD006</t>
  </si>
  <si>
    <t>west</t>
  </si>
  <si>
    <t>Mumbai</t>
  </si>
  <si>
    <t>Rohit</t>
  </si>
  <si>
    <t>Air Conditioner</t>
  </si>
  <si>
    <t>ORD007</t>
  </si>
  <si>
    <t>NORTH</t>
  </si>
  <si>
    <t>Laptop</t>
  </si>
  <si>
    <t>ORD008</t>
  </si>
  <si>
    <t>ORD009</t>
  </si>
  <si>
    <t>Patna</t>
  </si>
  <si>
    <t>ORD010</t>
  </si>
  <si>
    <t>WEST</t>
  </si>
  <si>
    <t>ORD011</t>
  </si>
  <si>
    <t>Noida</t>
  </si>
  <si>
    <t>ORD012</t>
  </si>
  <si>
    <t>ORD013</t>
  </si>
  <si>
    <t>ORD014</t>
  </si>
  <si>
    <t>West</t>
  </si>
  <si>
    <t>Pune</t>
  </si>
  <si>
    <t>ORD015</t>
  </si>
  <si>
    <t>ORD016</t>
  </si>
  <si>
    <t>Hyderabad</t>
  </si>
  <si>
    <t>ORD017</t>
  </si>
  <si>
    <t>EAST</t>
  </si>
  <si>
    <t>ORD018</t>
  </si>
  <si>
    <t>ORD019</t>
  </si>
  <si>
    <t>Gurgaon</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</si>
  <si>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</si>
  <si>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</si>
  <si>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</si>
  <si>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</si>
  <si>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</si>
  <si>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</si>
  <si>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</si>
  <si>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</si>
  <si>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</si>
  <si>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</si>
  <si>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</si>
  <si>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</si>
  <si>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</si>
  <si>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</si>
  <si>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</si>
  <si>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</si>
  <si>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</si>
  <si>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</si>
  <si>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</si>
  <si>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</si>
  <si>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</si>
  <si>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</si>
  <si>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Bhubaneswar</t>
  </si>
  <si>
    <t>ORD042</t>
  </si>
  <si>
    <t>ORD043</t>
  </si>
  <si>
    <t>ORD044</t>
  </si>
  <si>
    <t>Coimbatore</t>
  </si>
  <si>
    <t>ORD045</t>
  </si>
  <si>
    <t>ORD046</t>
  </si>
  <si>
    <t>Ranchi</t>
  </si>
  <si>
    <t>ORD047</t>
  </si>
  <si>
    <t>ORD048</t>
  </si>
  <si>
    <t>ORD049</t>
  </si>
  <si>
    <t>Ahmedabad</t>
  </si>
  <si>
    <t>ORD050</t>
  </si>
  <si>
    <t>ORD051</t>
  </si>
  <si>
    <t>ORD052</t>
  </si>
  <si>
    <t>south</t>
  </si>
  <si>
    <t>Madurai</t>
  </si>
  <si>
    <t>ORD053</t>
  </si>
  <si>
    <t>Surat</t>
  </si>
  <si>
    <t>ORD054</t>
  </si>
  <si>
    <t>ORD055</t>
  </si>
  <si>
    <t>ORD056</t>
  </si>
  <si>
    <t>Trichy</t>
  </si>
  <si>
    <t>ORD057</t>
  </si>
  <si>
    <t>Vadodara</t>
  </si>
  <si>
    <t>ORD058</t>
  </si>
  <si>
    <t>Guwahati</t>
  </si>
  <si>
    <t>ORD059</t>
  </si>
  <si>
    <t>Faridabad</t>
  </si>
  <si>
    <t>ORD060</t>
  </si>
  <si>
    <t>Kochi</t>
  </si>
  <si>
    <t>ORD061</t>
  </si>
  <si>
    <t>ORD062</t>
  </si>
  <si>
    <t>Siliguri</t>
  </si>
  <si>
    <t>ORD063</t>
  </si>
  <si>
    <t>ORD064</t>
  </si>
  <si>
    <t>ORD065</t>
  </si>
  <si>
    <t>ORD066</t>
  </si>
  <si>
    <t>ORD067</t>
  </si>
  <si>
    <t>ORD068</t>
  </si>
  <si>
    <t>ORD069</t>
  </si>
  <si>
    <t>ORD070</t>
  </si>
  <si>
    <t>ORD071</t>
  </si>
  <si>
    <t>ORD072</t>
  </si>
  <si>
    <t>ORD073</t>
  </si>
  <si>
    <t>ORD074</t>
  </si>
  <si>
    <t>ORD075</t>
  </si>
  <si>
    <t>ORD076</t>
  </si>
  <si>
    <t>Trivandrum</t>
  </si>
  <si>
    <t>ORD077</t>
  </si>
  <si>
    <t>ORD078</t>
  </si>
  <si>
    <t>ORD079</t>
  </si>
  <si>
    <t>ORD080</t>
  </si>
  <si>
    <t>ORD081</t>
  </si>
  <si>
    <t>Cuttack</t>
  </si>
  <si>
    <t>ORD082</t>
  </si>
  <si>
    <t>ORD083</t>
  </si>
  <si>
    <t>ORD084</t>
  </si>
  <si>
    <t>Salem</t>
  </si>
  <si>
    <t>ORD085</t>
  </si>
  <si>
    <t>ORD086</t>
  </si>
  <si>
    <t>Durgapur</t>
  </si>
  <si>
    <t>ORD087</t>
  </si>
  <si>
    <t>ORD088</t>
  </si>
  <si>
    <t>ORD089</t>
  </si>
  <si>
    <t>Indore</t>
  </si>
  <si>
    <t>ORD090</t>
  </si>
  <si>
    <t>Asansol</t>
  </si>
  <si>
    <t>ORD091</t>
  </si>
  <si>
    <t>ORD092</t>
  </si>
  <si>
    <t>Tirunelveli</t>
  </si>
  <si>
    <t>ORD093</t>
  </si>
  <si>
    <t>Muzaffarpur</t>
  </si>
  <si>
    <t>ORD094</t>
  </si>
  <si>
    <t>Bhopal</t>
  </si>
  <si>
    <t>ORD095</t>
  </si>
  <si>
    <t>ORD096</t>
  </si>
  <si>
    <t>Erode</t>
  </si>
  <si>
    <t>ORD097</t>
  </si>
  <si>
    <t>Silchar</t>
  </si>
  <si>
    <t>ORD098</t>
  </si>
  <si>
    <t>Nashik</t>
  </si>
  <si>
    <t>ORD099</t>
  </si>
  <si>
    <t>Ghaziabad</t>
  </si>
  <si>
    <t>ORD100</t>
  </si>
  <si>
    <t>Pondicherry</t>
  </si>
  <si>
    <t>ORD101</t>
  </si>
  <si>
    <t>Malda</t>
  </si>
  <si>
    <t>ORD102</t>
  </si>
  <si>
    <t>ORD103</t>
  </si>
  <si>
    <t>ORD104</t>
  </si>
  <si>
    <t>Vellore</t>
  </si>
  <si>
    <t>ORD105</t>
  </si>
  <si>
    <t>Begusarai</t>
  </si>
  <si>
    <t>ORD106</t>
  </si>
  <si>
    <t>Aurangabad</t>
  </si>
  <si>
    <t>ORD107</t>
  </si>
  <si>
    <t>ORD108</t>
  </si>
  <si>
    <t>Nagercoil</t>
  </si>
  <si>
    <t>ORD109</t>
  </si>
  <si>
    <t>Barasat</t>
  </si>
  <si>
    <t>ORD110</t>
  </si>
  <si>
    <t>Kolhapur</t>
  </si>
  <si>
    <t>ORD111</t>
  </si>
  <si>
    <t>ORD112</t>
  </si>
  <si>
    <t>Karur</t>
  </si>
  <si>
    <t>ORD113</t>
  </si>
  <si>
    <t>Kharagpur</t>
  </si>
  <si>
    <t>ORD114</t>
  </si>
  <si>
    <t>Thane</t>
  </si>
  <si>
    <t>ORD115</t>
  </si>
  <si>
    <t>ORD116</t>
  </si>
  <si>
    <t>Hosur</t>
  </si>
  <si>
    <t>ORD117</t>
  </si>
  <si>
    <t>Jalpaiguri</t>
  </si>
  <si>
    <t>ORD118</t>
  </si>
  <si>
    <t>Solapur</t>
  </si>
  <si>
    <t>ORD119</t>
  </si>
  <si>
    <t>ORD120</t>
  </si>
  <si>
    <t>Kumbakonam</t>
  </si>
  <si>
    <t>Home Appliances</t>
  </si>
  <si>
    <t>Cooling Appliances</t>
  </si>
  <si>
    <t>Sales_status</t>
  </si>
  <si>
    <t>DELHI</t>
  </si>
  <si>
    <t>RAHUL</t>
  </si>
  <si>
    <t>OK</t>
  </si>
  <si>
    <t>AMIT</t>
  </si>
  <si>
    <t>CHENNAI</t>
  </si>
  <si>
    <t>SURESH</t>
  </si>
  <si>
    <t>BANGALORE</t>
  </si>
  <si>
    <t>RAMESH</t>
  </si>
  <si>
    <t>KOLKATA</t>
  </si>
  <si>
    <t>ANITA</t>
  </si>
  <si>
    <t>MUMBAI</t>
  </si>
  <si>
    <t>ROHIT</t>
  </si>
  <si>
    <t>PATNA</t>
  </si>
  <si>
    <t>NOIDA</t>
  </si>
  <si>
    <t>PUNE</t>
  </si>
  <si>
    <t>HYDERABAD</t>
  </si>
  <si>
    <t>GURGAON</t>
  </si>
  <si>
    <t>BHUBANESWAR</t>
  </si>
  <si>
    <t>COIMBATORE</t>
  </si>
  <si>
    <t>RANCHI</t>
  </si>
  <si>
    <t>AHMEDABAD</t>
  </si>
  <si>
    <t>MADURAI</t>
  </si>
  <si>
    <t>SURAT</t>
  </si>
  <si>
    <t>TRICHY</t>
  </si>
  <si>
    <t>VADODARA</t>
  </si>
  <si>
    <t>GUWAHATI</t>
  </si>
  <si>
    <t>FARIDABAD</t>
  </si>
  <si>
    <t>KOCHI</t>
  </si>
  <si>
    <t>SILIGURI</t>
  </si>
  <si>
    <t>TRIVANDRUM</t>
  </si>
  <si>
    <t>CUTTACK</t>
  </si>
  <si>
    <t>SALEM</t>
  </si>
  <si>
    <t>DURGAPUR</t>
  </si>
  <si>
    <t>INDORE</t>
  </si>
  <si>
    <t>ASANSOL</t>
  </si>
  <si>
    <t>TIRUNELVELI</t>
  </si>
  <si>
    <t>MUZAFFARPUR</t>
  </si>
  <si>
    <t>BHOPAL</t>
  </si>
  <si>
    <t>ERODE</t>
  </si>
  <si>
    <t>SILCHAR</t>
  </si>
  <si>
    <t>NASHIK</t>
  </si>
  <si>
    <t>GHAZIABAD</t>
  </si>
  <si>
    <t>PONDICHERRY</t>
  </si>
  <si>
    <t>MALDA</t>
  </si>
  <si>
    <t>VELLORE</t>
  </si>
  <si>
    <t>BEGUSARAI</t>
  </si>
  <si>
    <t>AURANGABAD</t>
  </si>
  <si>
    <t>NAGERCOIL</t>
  </si>
  <si>
    <t>BARASAT</t>
  </si>
  <si>
    <t>KOLHAPUR</t>
  </si>
  <si>
    <t>KARUR</t>
  </si>
  <si>
    <t>KHARAGPUR</t>
  </si>
  <si>
    <t>THANE</t>
  </si>
  <si>
    <t>HOSUR</t>
  </si>
  <si>
    <t>JALPAIGURI</t>
  </si>
  <si>
    <t>SOLAPUR</t>
  </si>
  <si>
    <t>KUMBAKONAM</t>
  </si>
  <si>
    <t>Final_sales</t>
  </si>
  <si>
    <t>Year</t>
  </si>
  <si>
    <t>Month_Name</t>
  </si>
  <si>
    <t>Year_Month</t>
  </si>
  <si>
    <t>Order_Count_Flag</t>
  </si>
  <si>
    <t>Discount_Amount</t>
  </si>
  <si>
    <t>Gross_Sales</t>
  </si>
  <si>
    <t>Order_Size</t>
  </si>
  <si>
    <t>Total_Sales</t>
  </si>
  <si>
    <t>Total_Orders</t>
  </si>
  <si>
    <t>Gross_Sales_Value</t>
  </si>
  <si>
    <t>Total_Discount</t>
  </si>
  <si>
    <t>2024-01</t>
  </si>
  <si>
    <t>2024-02</t>
  </si>
  <si>
    <t>2024-03</t>
  </si>
  <si>
    <t>2024-04</t>
  </si>
  <si>
    <t>Average_Order-Value</t>
  </si>
  <si>
    <t>Year/Month</t>
  </si>
  <si>
    <t>Total Orders</t>
  </si>
  <si>
    <t>Total Sales</t>
  </si>
  <si>
    <t>Average Order Value</t>
  </si>
  <si>
    <t>Total Discount</t>
  </si>
  <si>
    <t>Order ID</t>
  </si>
  <si>
    <t>Order Date</t>
  </si>
  <si>
    <t>Unit Price</t>
  </si>
  <si>
    <t>Last Refreshed: 05 Feb 2026</t>
  </si>
  <si>
    <t>Key Insights:</t>
  </si>
  <si>
    <t>1. South region contributes the highest revenue</t>
  </si>
  <si>
    <t>2. Electronics drive ~60% of total sales</t>
  </si>
  <si>
    <t>3. Sales peaked in March before declining in April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</si>
</sst>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 #,##0.00;&quot;₹&quot;\ \-#,##0.00"/>
    <numFmt numFmtId="164" formatCode="&quot;₹&quot;\ #,##0.00"/>
    <numFmt numFmtId="165" formatCode="dd/mmm/yyyy"/>
  </numFmts>
  <fonts count="9" x14ac:knownFonts="1">
    <font>
      <sz val="11"/>
      <color theme="1"/>
      <name val="Calibri"/>
      <family val="2"/>
      <scheme val="minor"/>
    </font>
    <font>
      <b/>
      <sz val="11"/>
      <color theme="1"/>
      <name val="Calibri"/>
      <family val="2"/>
      <scheme val="minor"/>
    </font>
    <font>
      <sz val="11"/>
      <color rgb="FFE5E7EB"/>
      <name val="Calibri"/>
      <family val="2"/>
      <scheme val="minor"/>
    </font>
    <font>
      <sz val="12"/>
      <color rgb="FF374151"/>
      <name val="Calibri"/>
      <family val="2"/>
      <scheme val="minor"/>
    </font>
    <font>
      <b/>
      <sz val="11"/>
      <color theme="1"/>
      <name val="Segoe UI"/>
      <family val="2"/>
    </font>
    <font>
      <sz val="11"/>
      <color theme="1"/>
      <name val="Segoe UI"/>
      <family val="2"/>
    </font>
    <font>
      <b/>
      <sz val="14"/>
      <color theme="1"/>
      <name val="Segoe UI"/>
      <family val="2"/>
    </font>
    <font>
      <sz val="14"/>
      <color theme="1"/>
      <name val="Segoe UI"/>
      <family val="2"/>
    </font>
    <font>
      <sz val="22"/>
      <color theme="1"/>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9" tint="0.59999389629810485"/>
        <bgColor indexed="64"/>
      </patternFill>
    </fill>
    <fill>
      <patternFill patternType="solid">
        <fgColor rgb="FF2C7BE5"/>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xf numFmtId="0" fontId="0" fillId="0" borderId="0" xfId="0" applyAlignment="1">
      <alignment horizontal="center" vertical="center"/>
    </xf>
    <xf numFmtId="165" fontId="0" fillId="0" borderId="0" xfId="0" applyNumberFormat="1" applyAlignment="1">
      <alignment vertical="center" wrapText="1"/>
    </xf>
    <xf numFmtId="0" fontId="2" fillId="4" borderId="0" xfId="0" applyFont="1" applyFill="1"/>
    <xf numFmtId="7" fontId="3" fillId="0" borderId="0" xfId="0" applyNumberFormat="1" applyFont="1"/>
    <xf numFmtId="1" fontId="3" fillId="0" borderId="0" xfId="0" applyNumberFormat="1" applyFont="1"/>
    <xf numFmtId="164" fontId="3" fillId="0" borderId="0" xfId="0" applyNumberFormat="1" applyFont="1"/>
    <xf numFmtId="0" fontId="3" fillId="0" borderId="0" xfId="0" applyFont="1" applyAlignment="1">
      <alignment horizontal="left"/>
    </xf>
    <xf numFmtId="0" fontId="4" fillId="2" borderId="0" xfId="0" applyFont="1" applyFill="1" applyAlignment="1">
      <alignment horizontal="center" vertical="top"/>
    </xf>
    <xf numFmtId="0" fontId="5" fillId="2" borderId="0" xfId="0" applyFont="1" applyFill="1" applyAlignment="1">
      <alignment vertical="top"/>
    </xf>
    <xf numFmtId="0" fontId="6" fillId="0" borderId="0" xfId="0" applyFont="1"/>
    <xf numFmtId="0" fontId="7" fillId="0" borderId="0" xfId="0" applyFont="1"/>
    <xf numFmtId="0" fontId="4" fillId="0" borderId="0" xfId="0" applyFont="1"/>
    <xf numFmtId="0" fontId="8" fillId="0" borderId="0" xfId="0" applyFont="1" applyAlignment="1">
      <alignment horizontal="distributed"/>
    </xf>
    <xf numFmtId="164" fontId="8" fillId="3" borderId="0" xfId="0" applyNumberFormat="1" applyFont="1" applyFill="1" applyAlignment="1">
      <alignment horizontal="center" vertical="center"/>
    </xf>
    <xf numFmtId="0" fontId="8" fillId="3" borderId="0" xfId="0" applyFont="1" applyFill="1" applyAlignment="1">
      <alignment horizontal="center" vertical="center"/>
    </xf>
  </cellXfs>
  <cellStyles count="1">
    <cellStyle name="Normal" xfId="0" builtinId="0"/>
  </cellStyles>
  <dxfs count="100">
    <dxf>
      <font>
        <color rgb="FF374151"/>
      </font>
    </dxf>
    <dxf>
      <font>
        <color rgb="FF374151"/>
      </font>
    </dxf>
    <dxf>
      <font>
        <color rgb="FFE5E7EB"/>
      </font>
    </dxf>
    <dxf>
      <font>
        <color rgb="FFE5E7EB"/>
      </font>
    </dxf>
    <dxf>
      <fill>
        <patternFill>
          <bgColor rgb="FF2C7BE5"/>
        </patternFill>
      </fill>
    </dxf>
    <dxf>
      <fill>
        <patternFill>
          <bgColor rgb="FF2C7BE5"/>
        </patternFill>
      </fill>
    </dxf>
    <dxf>
      <font>
        <sz val="12"/>
      </font>
    </dxf>
    <dxf>
      <font>
        <sz val="12"/>
      </font>
    </dxf>
    <dxf>
      <font>
        <color theme="2" tint="-0.749992370372631"/>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theme="8" tint="0.39997558519241921"/>
        </patternFill>
      </fill>
    </dxf>
    <dxf>
      <fill>
        <patternFill>
          <bgColor theme="8" tint="0.39997558519241921"/>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color rgb="FF374151"/>
      </font>
    </dxf>
    <dxf>
      <font>
        <color rgb="FF374151"/>
      </font>
    </dxf>
    <dxf>
      <font>
        <color rgb="FFE5E7EB"/>
      </font>
    </dxf>
    <dxf>
      <font>
        <color rgb="FFE5E7EB"/>
      </font>
    </dxf>
    <dxf>
      <fill>
        <patternFill>
          <bgColor rgb="FF2C7BE5"/>
        </patternFill>
      </fill>
    </dxf>
    <dxf>
      <fill>
        <patternFill>
          <bgColor rgb="FF2C7BE5"/>
        </patternFill>
      </fill>
    </dxf>
    <dxf>
      <font>
        <sz val="12"/>
      </font>
    </dxf>
    <dxf>
      <font>
        <sz val="12"/>
      </font>
    </dxf>
    <dxf>
      <font>
        <color theme="2" tint="-0.749992370372631"/>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theme="9" tint="0.59999389629810485"/>
        </patternFill>
      </fill>
    </dxf>
    <dxf>
      <fill>
        <patternFill patternType="solid">
          <bgColor theme="9" tint="0.59999389629810485"/>
        </patternFill>
      </fill>
    </dxf>
    <dxf>
      <fill>
        <patternFill patternType="solid">
          <bgColor theme="8" tint="0.39997558519241921"/>
        </patternFill>
      </fill>
    </dxf>
    <dxf>
      <fill>
        <patternFill patternType="solid">
          <bgColor theme="8" tint="0.39997558519241921"/>
        </patternFill>
      </fill>
    </dxf>
    <dxf>
      <font>
        <color rgb="FF374151"/>
      </font>
    </dxf>
    <dxf>
      <font>
        <color rgb="FF374151"/>
      </font>
    </dxf>
    <dxf>
      <font>
        <color rgb="FFE5E7EB"/>
      </font>
    </dxf>
    <dxf>
      <font>
        <color rgb="FFE5E7EB"/>
      </font>
    </dxf>
    <dxf>
      <fill>
        <patternFill>
          <bgColor rgb="FF2C7BE5"/>
        </patternFill>
      </fill>
    </dxf>
    <dxf>
      <fill>
        <patternFill>
          <bgColor rgb="FF2C7BE5"/>
        </patternFill>
      </fill>
    </dxf>
    <dxf>
      <font>
        <sz val="12"/>
      </font>
    </dxf>
    <dxf>
      <font>
        <sz val="12"/>
      </font>
    </dxf>
    <dxf>
      <font>
        <color theme="2" tint="-0.749992370372631"/>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theme="9" tint="0.59999389629810485"/>
        </patternFill>
      </fill>
    </dxf>
    <dxf>
      <fill>
        <patternFill patternType="solid">
          <bgColor theme="9" tint="0.59999389629810485"/>
        </patternFill>
      </fill>
    </dxf>
    <dxf>
      <fill>
        <patternFill patternType="solid">
          <bgColor theme="8" tint="0.39997558519241921"/>
        </patternFill>
      </fill>
    </dxf>
    <dxf>
      <fill>
        <patternFill patternType="solid">
          <bgColor theme="8" tint="0.39997558519241921"/>
        </patternFill>
      </fill>
    </dxf>
    <dxf>
      <font>
        <color rgb="FF374151"/>
      </font>
    </dxf>
    <dxf>
      <font>
        <color rgb="FFE5E7EB"/>
      </font>
    </dxf>
    <dxf>
      <fill>
        <patternFill>
          <bgColor rgb="FF2C7BE5"/>
        </patternFill>
      </fill>
    </dxf>
    <dxf>
      <font>
        <sz val="12"/>
      </font>
    </dxf>
    <dxf>
      <border>
        <left/>
        <right/>
        <top/>
        <bottom/>
        <vertical/>
        <horizontal/>
      </border>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59999389629810485"/>
        </patternFill>
      </fill>
    </dxf>
    <dxf>
      <fill>
        <patternFill patternType="solid">
          <bgColor theme="8" tint="0.3999755851924192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alignment horizontal="center"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5" formatCode="dd/m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colors>
    <mruColors>
      <color rgb="FF374151"/>
      <color rgb="FFE5E7EB"/>
      <color rgb="FF2C7B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project.xlsx]Pivot_2!Region_Pivot</c:name>
    <c:fmtId val="5"/>
  </c:pivotSource>
  <c:chart>
    <c:title>
      <c:tx>
        <c:rich>
          <a:bodyPr rot="0" spcFirstLastPara="1" vertOverflow="ellipsis" vert="horz" wrap="square" anchor="ctr" anchorCtr="1"/>
          <a:lstStyle/>
          <a:p>
            <a:pPr>
              <a:defRPr sz="1440" b="1" i="0" u="none" strike="noStrike" kern="1200" cap="all" spc="50" baseline="0">
                <a:solidFill>
                  <a:schemeClr val="tx1"/>
                </a:solidFill>
                <a:latin typeface="+mn-lt"/>
                <a:ea typeface="+mn-ea"/>
                <a:cs typeface="+mn-cs"/>
              </a:defRPr>
            </a:pPr>
            <a:r>
              <a:rPr lang="en-IN">
                <a:solidFill>
                  <a:schemeClr val="tx1"/>
                </a:solidFill>
              </a:rPr>
              <a:t>Sales by region</a:t>
            </a:r>
          </a:p>
        </c:rich>
      </c:tx>
      <c:overlay val="0"/>
      <c:spPr>
        <a:noFill/>
        <a:ln>
          <a:noFill/>
        </a:ln>
        <a:effectLst/>
      </c:spPr>
      <c:txPr>
        <a:bodyPr rot="0" spcFirstLastPara="1" vertOverflow="ellipsis" vert="horz" wrap="square" anchor="ctr" anchorCtr="1"/>
        <a:lstStyle/>
        <a:p>
          <a:pPr>
            <a:defRPr sz="1440" b="1" i="0" u="none" strike="noStrike" kern="1200" cap="all" spc="5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a:noFill/>
          </a:ln>
          <a:effectLst/>
        </c:spPr>
      </c:pivotFmt>
      <c:pivotFmt>
        <c:idx val="7"/>
        <c:spPr>
          <a:solidFill>
            <a:schemeClr val="accent4">
              <a:lumMod val="40000"/>
              <a:lumOff val="60000"/>
            </a:schemeClr>
          </a:solidFill>
          <a:ln>
            <a:noFill/>
          </a:ln>
          <a:effectLst/>
        </c:spPr>
      </c:pivotFmt>
      <c:pivotFmt>
        <c:idx val="8"/>
        <c:spPr>
          <a:solidFill>
            <a:schemeClr val="accent4">
              <a:lumMod val="60000"/>
              <a:lumOff val="40000"/>
            </a:schemeClr>
          </a:solidFill>
          <a:ln>
            <a:noFill/>
          </a:ln>
          <a:effectLst/>
        </c:spPr>
      </c:pivotFmt>
      <c:pivotFmt>
        <c:idx val="9"/>
        <c:spPr>
          <a:solidFill>
            <a:schemeClr val="accent4">
              <a:lumMod val="40000"/>
              <a:lumOff val="60000"/>
            </a:schemeClr>
          </a:solidFill>
          <a:ln>
            <a:noFill/>
          </a:ln>
          <a:effectLst/>
        </c:spPr>
      </c:pivotFmt>
    </c:pivotFmts>
    <c:plotArea>
      <c:layout/>
      <c:barChart>
        <c:barDir val="col"/>
        <c:grouping val="clustered"/>
        <c:varyColors val="0"/>
        <c:ser>
          <c:idx val="0"/>
          <c:order val="0"/>
          <c:tx>
            <c:strRef>
              <c:f>Pivot_2!$B$3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Pt>
            <c:idx val="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2DA-4D24-B052-3BA5DE7E723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4-62DA-4D24-B052-3BA5DE7E7238}"/>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62DA-4D24-B052-3BA5DE7E7238}"/>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6-62DA-4D24-B052-3BA5DE7E7238}"/>
              </c:ext>
            </c:extLst>
          </c:dPt>
          <c:cat>
            <c:strRef>
              <c:f>Pivot_2!$A$4:$A$7</c:f>
              <c:strCache>
                <c:ptCount val="4"/>
                <c:pt idx="0">
                  <c:v>EAST</c:v>
                </c:pt>
                <c:pt idx="1">
                  <c:v>NORTH</c:v>
                </c:pt>
                <c:pt idx="2">
                  <c:v>SOUTH</c:v>
                </c:pt>
                <c:pt idx="3">
                  <c:v>WEST</c:v>
                </c:pt>
              </c:strCache>
            </c:strRef>
          </c:cat>
          <c:val>
            <c:numRef>
              <c:f>Pivot_2!$B$4:$B$7</c:f>
              <c:numCache>
                <c:formatCode>"₹"\ #,##0.00</c:formatCode>
                <c:ptCount val="4"/>
                <c:pt idx="0">
                  <c:v>1195695</c:v>
                </c:pt>
                <c:pt idx="1">
                  <c:v>1225140</c:v>
                </c:pt>
                <c:pt idx="2">
                  <c:v>1505090</c:v>
                </c:pt>
                <c:pt idx="3">
                  <c:v>1212745</c:v>
                </c:pt>
              </c:numCache>
            </c:numRef>
          </c:val>
          <c:extLst>
            <c:ext xmlns:c16="http://schemas.microsoft.com/office/drawing/2014/chart" uri="{C3380CC4-5D6E-409C-BE32-E72D297353CC}">
              <c16:uniqueId val="{00000000-62DA-4D24-B052-3BA5DE7E7238}"/>
            </c:ext>
          </c:extLst>
        </c:ser>
        <c:dLbls>
          <c:showLegendKey val="0"/>
          <c:showVal val="0"/>
          <c:showCatName val="0"/>
          <c:showSerName val="0"/>
          <c:showPercent val="0"/>
          <c:showBubbleSize val="0"/>
        </c:dLbls>
        <c:gapWidth val="355"/>
        <c:overlap val="-70"/>
        <c:axId val="1667384063"/>
        <c:axId val="1667389823"/>
      </c:barChart>
      <c:catAx>
        <c:axId val="1667384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67389823"/>
        <c:crosses val="autoZero"/>
        <c:auto val="1"/>
        <c:lblAlgn val="ctr"/>
        <c:lblOffset val="100"/>
        <c:noMultiLvlLbl val="0"/>
      </c:catAx>
      <c:valAx>
        <c:axId val="1667389823"/>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6738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project.xlsx]Pivot_3!PivotTable3</c:name>
    <c:fmtId val="7"/>
  </c:pivotSource>
  <c:chart>
    <c:title>
      <c:tx>
        <c:rich>
          <a:bodyPr rot="0" spcFirstLastPara="1" vertOverflow="ellipsis" vert="horz" wrap="square" anchor="ctr" anchorCtr="1"/>
          <a:lstStyle/>
          <a:p>
            <a:pPr>
              <a:defRPr sz="1440" b="1" i="0" u="none" strike="noStrike" kern="1200" cap="all" spc="50" baseline="0">
                <a:solidFill>
                  <a:schemeClr val="tx1"/>
                </a:solidFill>
                <a:latin typeface="+mn-lt"/>
                <a:ea typeface="+mn-ea"/>
                <a:cs typeface="+mn-cs"/>
              </a:defRPr>
            </a:pPr>
            <a:r>
              <a:rPr lang="en-US">
                <a:solidFill>
                  <a:schemeClr val="tx1"/>
                </a:solidFill>
              </a:rPr>
              <a:t>Sales by category</a:t>
            </a:r>
          </a:p>
        </c:rich>
      </c:tx>
      <c:overlay val="0"/>
      <c:spPr>
        <a:noFill/>
        <a:ln>
          <a:noFill/>
        </a:ln>
        <a:effectLst/>
      </c:spPr>
      <c:txPr>
        <a:bodyPr rot="0" spcFirstLastPara="1" vertOverflow="ellipsis" vert="horz" wrap="square" anchor="ctr" anchorCtr="1"/>
        <a:lstStyle/>
        <a:p>
          <a:pPr>
            <a:defRPr sz="1440" b="1" i="0" u="none" strike="noStrike" kern="1200" cap="all" spc="5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pivotFmt>
      <c:pivotFmt>
        <c:idx val="7"/>
        <c:spPr>
          <a:solidFill>
            <a:schemeClr val="accent2">
              <a:lumMod val="60000"/>
              <a:lumOff val="40000"/>
            </a:schemeClr>
          </a:solidFill>
          <a:ln>
            <a:noFill/>
          </a:ln>
          <a:effectLst/>
        </c:spPr>
      </c:pivotFmt>
      <c:pivotFmt>
        <c:idx val="8"/>
        <c:spPr>
          <a:solidFill>
            <a:schemeClr val="accent2">
              <a:lumMod val="40000"/>
              <a:lumOff val="60000"/>
            </a:schemeClr>
          </a:solidFill>
          <a:ln>
            <a:noFill/>
          </a:ln>
          <a:effectLst/>
        </c:spPr>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8736153649585"/>
          <c:y val="0.1850696267133275"/>
          <c:w val="0.82143139135684051"/>
          <c:h val="0.75474518810148727"/>
        </c:manualLayout>
      </c:layout>
      <c:barChart>
        <c:barDir val="bar"/>
        <c:grouping val="clustered"/>
        <c:varyColors val="0"/>
        <c:ser>
          <c:idx val="0"/>
          <c:order val="0"/>
          <c:tx>
            <c:strRef>
              <c:f>Pivot_3!$B$3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1-17E9-4518-BA90-9886BA0290CA}"/>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17E9-4518-BA90-9886BA0290CA}"/>
              </c:ext>
            </c:extLst>
          </c:dPt>
          <c:dPt>
            <c:idx val="2"/>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5-17E9-4518-BA90-9886BA0290CA}"/>
              </c:ext>
            </c:extLst>
          </c:dPt>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Pivot_3!$A$4:$A$6</c:f>
              <c:strCache>
                <c:ptCount val="3"/>
                <c:pt idx="0">
                  <c:v>Cooling Appliances</c:v>
                </c:pt>
                <c:pt idx="1">
                  <c:v>Electronics</c:v>
                </c:pt>
                <c:pt idx="2">
                  <c:v>Home Appliances</c:v>
                </c:pt>
              </c:strCache>
            </c:strRef>
          </c:cat>
          <c:val>
            <c:numRef>
              <c:f>Pivot_3!$B$4:$B$6</c:f>
              <c:numCache>
                <c:formatCode>"₹"\ #,##0.00</c:formatCode>
                <c:ptCount val="3"/>
                <c:pt idx="0">
                  <c:v>705650</c:v>
                </c:pt>
                <c:pt idx="1">
                  <c:v>3101930</c:v>
                </c:pt>
                <c:pt idx="2">
                  <c:v>1331090</c:v>
                </c:pt>
              </c:numCache>
            </c:numRef>
          </c:val>
          <c:extLst>
            <c:ext xmlns:c16="http://schemas.microsoft.com/office/drawing/2014/chart" uri="{C3380CC4-5D6E-409C-BE32-E72D297353CC}">
              <c16:uniqueId val="{00000006-17E9-4518-BA90-9886BA0290CA}"/>
            </c:ext>
          </c:extLst>
        </c:ser>
        <c:dLbls>
          <c:dLblPos val="outEnd"/>
          <c:showLegendKey val="0"/>
          <c:showVal val="1"/>
          <c:showCatName val="0"/>
          <c:showSerName val="0"/>
          <c:showPercent val="0"/>
          <c:showBubbleSize val="0"/>
        </c:dLbls>
        <c:gapWidth val="326"/>
        <c:overlap val="-58"/>
        <c:axId val="1976171887"/>
        <c:axId val="1976173807"/>
      </c:barChart>
      <c:valAx>
        <c:axId val="1976173807"/>
        <c:scaling>
          <c:orientation val="minMax"/>
        </c:scaling>
        <c:delete val="1"/>
        <c:axPos val="b"/>
        <c:numFmt formatCode="&quot;₹&quot;\ #,##0.00" sourceLinked="1"/>
        <c:majorTickMark val="out"/>
        <c:minorTickMark val="none"/>
        <c:tickLblPos val="nextTo"/>
        <c:crossAx val="1976171887"/>
        <c:crosses val="autoZero"/>
        <c:crossBetween val="between"/>
      </c:valAx>
      <c:catAx>
        <c:axId val="1976171887"/>
        <c:scaling>
          <c:orientation val="minMax"/>
        </c:scaling>
        <c:delete val="0"/>
        <c:axPos val="l"/>
        <c:numFmt formatCode="General" sourceLinked="1"/>
        <c:majorTickMark val="out"/>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7617380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project.xlsx]Pivot_4!PivotTable4</c:name>
    <c:fmtId val="5"/>
  </c:pivotSource>
  <c:chart>
    <c:title>
      <c:tx>
        <c:rich>
          <a:bodyPr rot="0" spcFirstLastPara="1" vertOverflow="ellipsis" vert="horz" wrap="square" anchor="ctr" anchorCtr="1"/>
          <a:lstStyle/>
          <a:p>
            <a:pPr>
              <a:defRPr sz="1440" b="1" i="0" u="none" strike="noStrike" kern="1200" baseline="0">
                <a:solidFill>
                  <a:schemeClr val="tx1"/>
                </a:solidFill>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44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7150" dist="19050" dir="5400000" algn="ctr" rotWithShape="0">
              <a:srgbClr val="000000">
                <a:alpha val="63000"/>
              </a:srgbClr>
            </a:outerShdw>
          </a:effectLst>
        </c:spPr>
        <c:marker>
          <c:symbol val="circle"/>
          <c:size val="6"/>
          <c:spPr>
            <a:solidFill>
              <a:schemeClr val="accent1"/>
            </a:solidFill>
            <a:ln w="6350" cap="flat" cmpd="sng" algn="ctr">
              <a:solidFill>
                <a:schemeClr val="accent1"/>
              </a:solidFill>
              <a:prstDash val="solid"/>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7150" dist="19050" dir="5400000" algn="ctr" rotWithShape="0">
              <a:srgbClr val="000000">
                <a:alpha val="63000"/>
              </a:srgbClr>
            </a:outerShdw>
          </a:effectLst>
        </c:spPr>
        <c:marker>
          <c:symbol val="circle"/>
          <c:size val="6"/>
          <c:spPr>
            <a:solidFill>
              <a:schemeClr val="accent1"/>
            </a:solidFill>
            <a:ln w="6350" cap="flat" cmpd="sng" algn="ctr">
              <a:solidFill>
                <a:schemeClr val="accent1"/>
              </a:solidFill>
              <a:prstDash val="solid"/>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7150" dist="19050" dir="5400000" algn="ctr" rotWithShape="0">
              <a:srgbClr val="000000">
                <a:alpha val="63000"/>
              </a:srgbClr>
            </a:outerShdw>
          </a:effectLst>
        </c:spPr>
        <c:marker>
          <c:symbol val="circle"/>
          <c:size val="6"/>
          <c:spPr>
            <a:solidFill>
              <a:schemeClr val="accent1"/>
            </a:solidFill>
            <a:ln w="6350" cap="flat" cmpd="sng" algn="ctr">
              <a:solidFill>
                <a:schemeClr val="accent1"/>
              </a:solidFill>
              <a:prstDash val="solid"/>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9050" cap="rnd" cmpd="sng" algn="ctr">
            <a:solidFill>
              <a:schemeClr val="accent1"/>
            </a:solidFill>
            <a:prstDash val="solid"/>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90048118985126"/>
          <c:y val="0.2061574074074074"/>
          <c:w val="0.77709951881014871"/>
          <c:h val="0.70959135316418775"/>
        </c:manualLayout>
      </c:layout>
      <c:lineChart>
        <c:grouping val="standard"/>
        <c:varyColors val="0"/>
        <c:ser>
          <c:idx val="0"/>
          <c:order val="0"/>
          <c:tx>
            <c:strRef>
              <c:f>Pivot_4!$B$3</c:f>
              <c:strCache>
                <c:ptCount val="1"/>
                <c:pt idx="0">
                  <c:v>Total</c:v>
                </c:pt>
              </c:strCache>
            </c:strRef>
          </c:tx>
          <c:spPr>
            <a:ln w="19050" cap="rnd" cmpd="sng" algn="ctr">
              <a:solidFill>
                <a:schemeClr val="accent1"/>
              </a:solidFill>
              <a:prstDash val="solid"/>
              <a:round/>
            </a:ln>
            <a:effectLst>
              <a:outerShdw blurRad="57150" dist="19050" dir="5400000" algn="ctr" rotWithShape="0">
                <a:srgbClr val="000000">
                  <a:alpha val="63000"/>
                </a:srgbClr>
              </a:outerShdw>
            </a:effectLst>
          </c:spPr>
          <c:marker>
            <c:symbol val="none"/>
          </c:marker>
          <c:trendline>
            <c:spPr>
              <a:ln w="6350" cap="rnd" cmpd="sng" algn="ctr">
                <a:solidFill>
                  <a:schemeClr val="tx1"/>
                </a:solidFill>
                <a:prstDash val="solid"/>
                <a:round/>
              </a:ln>
              <a:effectLst/>
            </c:spPr>
            <c:trendlineType val="linear"/>
            <c:dispRSqr val="0"/>
            <c:dispEq val="0"/>
          </c:trendline>
          <c:cat>
            <c:strRef>
              <c:f>Pivot_4!$A$4:$A$7</c:f>
              <c:strCache>
                <c:ptCount val="4"/>
                <c:pt idx="0">
                  <c:v>2024-01</c:v>
                </c:pt>
                <c:pt idx="1">
                  <c:v>2024-02</c:v>
                </c:pt>
                <c:pt idx="2">
                  <c:v>2024-03</c:v>
                </c:pt>
                <c:pt idx="3">
                  <c:v>2024-04</c:v>
                </c:pt>
              </c:strCache>
            </c:strRef>
          </c:cat>
          <c:val>
            <c:numRef>
              <c:f>Pivot_4!$B$4:$B$7</c:f>
              <c:numCache>
                <c:formatCode>"₹"\ #,##0.00</c:formatCode>
                <c:ptCount val="4"/>
                <c:pt idx="0">
                  <c:v>1177635</c:v>
                </c:pt>
                <c:pt idx="1">
                  <c:v>1291065</c:v>
                </c:pt>
                <c:pt idx="2">
                  <c:v>1387500</c:v>
                </c:pt>
                <c:pt idx="3">
                  <c:v>1282470</c:v>
                </c:pt>
              </c:numCache>
            </c:numRef>
          </c:val>
          <c:smooth val="0"/>
          <c:extLst>
            <c:ext xmlns:c16="http://schemas.microsoft.com/office/drawing/2014/chart" uri="{C3380CC4-5D6E-409C-BE32-E72D297353CC}">
              <c16:uniqueId val="{00000002-DFCE-4EC5-8634-DE39B49EF019}"/>
            </c:ext>
          </c:extLst>
        </c:ser>
        <c:dLbls>
          <c:showLegendKey val="0"/>
          <c:showVal val="0"/>
          <c:showCatName val="0"/>
          <c:showSerName val="0"/>
          <c:showPercent val="0"/>
          <c:showBubbleSize val="0"/>
        </c:dLbls>
        <c:smooth val="0"/>
        <c:axId val="1671079535"/>
        <c:axId val="1671078575"/>
      </c:lineChart>
      <c:catAx>
        <c:axId val="167107953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671078575"/>
        <c:crosses val="autoZero"/>
        <c:auto val="1"/>
        <c:lblAlgn val="ctr"/>
        <c:lblOffset val="100"/>
        <c:noMultiLvlLbl val="0"/>
      </c:catAx>
      <c:valAx>
        <c:axId val="1671078575"/>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quot;₹&quot;\ #,##0.00" sourceLinked="1"/>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671079535"/>
        <c:crosses val="autoZero"/>
        <c:crossBetween val="between"/>
      </c:valAx>
      <c:spPr>
        <a:noFill/>
        <a:ln>
          <a:noFill/>
        </a:ln>
        <a:effectLst/>
      </c:spPr>
    </c:plotArea>
    <c:plotVisOnly val="1"/>
    <c:dispBlanksAs val="gap"/>
    <c:showDLblsOverMax val="0"/>
    <c:extLst/>
  </c:chart>
  <c:spPr>
    <a:solidFill>
      <a:schemeClr val="bg1"/>
    </a:solidFill>
    <a:ln w="6350" cap="flat" cmpd="sng" algn="ctr">
      <a:noFill/>
      <a:prstDash val="solid"/>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17929</xdr:rowOff>
    </xdr:from>
    <xdr:to>
      <xdr:col>4</xdr:col>
      <xdr:colOff>412376</xdr:colOff>
      <xdr:row>18</xdr:row>
      <xdr:rowOff>71717</xdr:rowOff>
    </xdr:to>
    <xdr:graphicFrame macro="">
      <xdr:nvGraphicFramePr>
        <xdr:cNvPr id="9" name="Chart 8">
          <a:extLst>
            <a:ext uri="{FF2B5EF4-FFF2-40B4-BE49-F238E27FC236}">
              <a16:creationId xmlns:a16="http://schemas.microsoft.com/office/drawing/2014/main" id="{58980005-3003-45BA-B124-30C537972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950258</xdr:colOff>
      <xdr:row>4</xdr:row>
      <xdr:rowOff>98612</xdr:rowOff>
    </xdr:from>
    <xdr:to>
      <xdr:col>13</xdr:col>
      <xdr:colOff>564777</xdr:colOff>
      <xdr:row>19</xdr:row>
      <xdr:rowOff>152400</xdr:rowOff>
    </xdr:to>
    <xdr:graphicFrame macro="">
      <xdr:nvGraphicFramePr>
        <xdr:cNvPr id="10" name="Chart 9">
          <a:extLst>
            <a:ext uri="{FF2B5EF4-FFF2-40B4-BE49-F238E27FC236}">
              <a16:creationId xmlns:a16="http://schemas.microsoft.com/office/drawing/2014/main" id="{3BF2715C-43E0-43E4-89D6-FF3EBBFE5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79513</xdr:colOff>
      <xdr:row>18</xdr:row>
      <xdr:rowOff>177714</xdr:rowOff>
    </xdr:from>
    <xdr:to>
      <xdr:col>4</xdr:col>
      <xdr:colOff>491889</xdr:colOff>
      <xdr:row>33</xdr:row>
      <xdr:rowOff>0</xdr:rowOff>
    </xdr:to>
    <xdr:graphicFrame macro="">
      <xdr:nvGraphicFramePr>
        <xdr:cNvPr id="11" name="Chart 10">
          <a:extLst>
            <a:ext uri="{FF2B5EF4-FFF2-40B4-BE49-F238E27FC236}">
              <a16:creationId xmlns:a16="http://schemas.microsoft.com/office/drawing/2014/main" id="{F3C24C52-60BF-40AB-826E-315E68CE2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42863</xdr:colOff>
      <xdr:row>2</xdr:row>
      <xdr:rowOff>21263</xdr:rowOff>
    </xdr:from>
    <xdr:to>
      <xdr:col>17</xdr:col>
      <xdr:colOff>191663</xdr:colOff>
      <xdr:row>10</xdr:row>
      <xdr:rowOff>76200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6776F1BB-E9AF-45B3-8430-7DBD269AB81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175287" y="595004"/>
              <a:ext cx="1368000" cy="14892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47625</xdr:colOff>
      <xdr:row>11</xdr:row>
      <xdr:rowOff>161925</xdr:rowOff>
    </xdr:from>
    <xdr:to>
      <xdr:col>17</xdr:col>
      <xdr:colOff>196425</xdr:colOff>
      <xdr:row>18</xdr:row>
      <xdr:rowOff>103654</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4A07294A-0753-4A62-A807-6BD6B0B9760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180049" y="2349313"/>
              <a:ext cx="1368000" cy="1196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66675</xdr:colOff>
      <xdr:row>20</xdr:row>
      <xdr:rowOff>0</xdr:rowOff>
    </xdr:from>
    <xdr:to>
      <xdr:col>17</xdr:col>
      <xdr:colOff>215475</xdr:colOff>
      <xdr:row>26</xdr:row>
      <xdr:rowOff>124814</xdr:rowOff>
    </xdr:to>
    <mc:AlternateContent xmlns:mc="http://schemas.openxmlformats.org/markup-compatibility/2006" xmlns:a14="http://schemas.microsoft.com/office/drawing/2010/main">
      <mc:Choice Requires="a14">
        <xdr:graphicFrame macro="">
          <xdr:nvGraphicFramePr>
            <xdr:cNvPr id="14" name="Year_Month">
              <a:extLst>
                <a:ext uri="{FF2B5EF4-FFF2-40B4-BE49-F238E27FC236}">
                  <a16:creationId xmlns:a16="http://schemas.microsoft.com/office/drawing/2014/main" id="{488A3552-9181-4870-96FD-6F133985974B}"/>
                </a:ext>
              </a:extLst>
            </xdr:cNvPr>
            <xdr:cNvGraphicFramePr/>
          </xdr:nvGraphicFramePr>
          <xdr:xfrm>
            <a:off x="0" y="0"/>
            <a:ext cx="0" cy="0"/>
          </xdr:xfrm>
          <a:graphic>
            <a:graphicData uri="http://schemas.microsoft.com/office/drawing/2010/slicer">
              <sle:slicer xmlns:sle="http://schemas.microsoft.com/office/drawing/2010/slicer" name="Year_Month"/>
            </a:graphicData>
          </a:graphic>
        </xdr:graphicFrame>
      </mc:Choice>
      <mc:Fallback xmlns="">
        <xdr:sp macro="" textlink="">
          <xdr:nvSpPr>
            <xdr:cNvPr id="0" name=""/>
            <xdr:cNvSpPr>
              <a:spLocks noTextEdit="1"/>
            </xdr:cNvSpPr>
          </xdr:nvSpPr>
          <xdr:spPr>
            <a:xfrm>
              <a:off x="15199099" y="3801035"/>
              <a:ext cx="1368000" cy="1523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rath adhithya" refreshedDate="46057.881821643517" createdVersion="8" refreshedVersion="8" minRefreshableVersion="3" recordCount="120" xr:uid="{144EAA97-5B5B-41AB-91ED-655A71AA1353}">
  <cacheSource type="worksheet">
    <worksheetSource name="Table3_1"/>
  </cacheSource>
  <cacheFields count="23">
    <cacheField name="Order_ID" numFmtId="0">
      <sharedItems/>
    </cacheField>
    <cacheField name="Order_Date" numFmtId="14">
      <sharedItems containsSemiMixedTypes="0" containsNonDate="0" containsDate="1" containsString="0" minDate="2024-01-01T00:00:00" maxDate="2024-04-30T00:00:00"/>
    </cacheField>
    <cacheField name="Region" numFmtId="0">
      <sharedItems count="4">
        <s v="NORTH"/>
        <s v="SOUTH"/>
        <s v="EAST"/>
        <s v="WEST"/>
      </sharedItems>
    </cacheField>
    <cacheField name="City" numFmtId="0">
      <sharedItems/>
    </cacheField>
    <cacheField name="Salesperson" numFmtId="0">
      <sharedItems/>
    </cacheField>
    <cacheField name="Product" numFmtId="0">
      <sharedItems/>
    </cacheField>
    <cacheField name="Category" numFmtId="0">
      <sharedItems count="3">
        <s v="Electronics"/>
        <s v="Home Appliances"/>
        <s v="Cooling Appliances"/>
      </sharedItems>
    </cacheField>
    <cacheField name="Quantity" numFmtId="0">
      <sharedItems containsSemiMixedTypes="0" containsString="0" containsNumber="1" containsInteger="1" minValue="1" maxValue="3"/>
    </cacheField>
    <cacheField name="Unit_Price" numFmtId="0">
      <sharedItems containsSemiMixedTypes="0" containsString="0" containsNumber="1" containsInteger="1" minValue="11000" maxValue="63500"/>
    </cacheField>
    <cacheField name="Discount" numFmtId="0">
      <sharedItems containsSemiMixedTypes="0" containsString="0" containsNumber="1" minValue="0" maxValue="0.15"/>
    </cacheField>
    <cacheField name="Sales" numFmtId="0">
      <sharedItems containsSemiMixedTypes="0" containsString="0" containsNumber="1" containsInteger="1" minValue="11875" maxValue="107360"/>
    </cacheField>
    <cacheField name="Final_sales" numFmtId="0">
      <sharedItems containsSemiMixedTypes="0" containsString="0" containsNumber="1" containsInteger="1" minValue="11875" maxValue="107360"/>
    </cacheField>
    <cacheField name="Gross_Sales" numFmtId="0">
      <sharedItems containsSemiMixedTypes="0" containsString="0" containsNumber="1" containsInteger="1" minValue="12000" maxValue="122000"/>
    </cacheField>
    <cacheField name="Sales_status" numFmtId="0">
      <sharedItems/>
    </cacheField>
    <cacheField name="Year" numFmtId="0">
      <sharedItems containsSemiMixedTypes="0" containsString="0" containsNumber="1" containsInteger="1" minValue="2024" maxValue="2024"/>
    </cacheField>
    <cacheField name="Month_Number" numFmtId="0">
      <sharedItems containsSemiMixedTypes="0" containsString="0" containsNumber="1" containsInteger="1" minValue="1" maxValue="4"/>
    </cacheField>
    <cacheField name="Month_Name" numFmtId="0">
      <sharedItems/>
    </cacheField>
    <cacheField name="Year_Month" numFmtId="0">
      <sharedItems count="4">
        <s v="2024-01"/>
        <s v="2024-02"/>
        <s v="2024-03"/>
        <s v="2024-04"/>
      </sharedItems>
    </cacheField>
    <cacheField name="Order_Count_Flag" numFmtId="0">
      <sharedItems containsSemiMixedTypes="0" containsString="0" containsNumber="1" containsInteger="1" minValue="1" maxValue="1"/>
    </cacheField>
    <cacheField name="Discount_Amount" numFmtId="0">
      <sharedItems containsSemiMixedTypes="0" containsString="0" containsNumber="1" minValue="0" maxValue="15600"/>
    </cacheField>
    <cacheField name="Order_Size" numFmtId="0">
      <sharedItems/>
    </cacheField>
    <cacheField name="Average_Order_Value" numFmtId="0" formula=" &quot;Total_Sales&quot;/&quot;Total_Orders&quot;" databaseField="0"/>
    <cacheField name="AOV" numFmtId="0" formula="Final_sales/Order_Count_Flag" databaseField="0"/>
  </cacheFields>
  <extLst>
    <ext xmlns:x14="http://schemas.microsoft.com/office/spreadsheetml/2009/9/main" uri="{725AE2AE-9491-48be-B2B4-4EB974FC3084}">
      <x14:pivotCacheDefinition pivotCacheId="2317000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ORD001"/>
    <d v="2024-01-01T00:00:00"/>
    <x v="0"/>
    <s v="DELHI"/>
    <s v="RAHUL"/>
    <s v="LED TV"/>
    <x v="0"/>
    <n v="2"/>
    <n v="32000"/>
    <n v="0.1"/>
    <n v="57600"/>
    <n v="57600"/>
    <n v="64000"/>
    <s v="OK"/>
    <n v="2024"/>
    <n v="1"/>
    <s v="Jan"/>
    <x v="0"/>
    <n v="1"/>
    <n v="6400"/>
    <s v="High Value"/>
  </r>
  <r>
    <s v="ORD002"/>
    <d v="2024-01-02T00:00:00"/>
    <x v="0"/>
    <s v="DELHI"/>
    <s v="AMIT"/>
    <s v="Mobile Phone"/>
    <x v="0"/>
    <n v="1"/>
    <n v="18000"/>
    <n v="0"/>
    <n v="18000"/>
    <n v="18000"/>
    <n v="18000"/>
    <s v="OK"/>
    <n v="2024"/>
    <n v="1"/>
    <s v="Jan"/>
    <x v="0"/>
    <n v="1"/>
    <n v="0"/>
    <s v="Medium Value"/>
  </r>
  <r>
    <s v="ORD003"/>
    <d v="2024-01-03T00:00:00"/>
    <x v="1"/>
    <s v="CHENNAI"/>
    <s v="SURESH"/>
    <s v="Refrigerator"/>
    <x v="1"/>
    <n v="1"/>
    <n v="45000"/>
    <n v="0.05"/>
    <n v="42750"/>
    <n v="42750"/>
    <n v="45000"/>
    <s v="OK"/>
    <n v="2024"/>
    <n v="1"/>
    <s v="Jan"/>
    <x v="0"/>
    <n v="1"/>
    <n v="2250"/>
    <s v="Low Value"/>
  </r>
  <r>
    <s v="ORD004"/>
    <d v="2024-01-04T00:00:00"/>
    <x v="1"/>
    <s v="BANGALORE"/>
    <s v="RAMESH"/>
    <s v="Washing Machine"/>
    <x v="1"/>
    <n v="2"/>
    <n v="28000"/>
    <n v="0.1"/>
    <n v="50400"/>
    <n v="50400"/>
    <n v="56000"/>
    <s v="OK"/>
    <n v="2024"/>
    <n v="1"/>
    <s v="Jan"/>
    <x v="0"/>
    <n v="1"/>
    <n v="5600"/>
    <s v="High Value"/>
  </r>
  <r>
    <s v="ORD005"/>
    <d v="2024-01-05T00:00:00"/>
    <x v="2"/>
    <s v="KOLKATA"/>
    <s v="ANITA"/>
    <s v="Microwave"/>
    <x v="1"/>
    <n v="1"/>
    <n v="12000"/>
    <n v="0"/>
    <n v="12000"/>
    <n v="12000"/>
    <n v="12000"/>
    <s v="OK"/>
    <n v="2024"/>
    <n v="1"/>
    <s v="Jan"/>
    <x v="0"/>
    <n v="1"/>
    <n v="0"/>
    <s v="Medium Value"/>
  </r>
  <r>
    <s v="ORD006"/>
    <d v="2024-01-06T00:00:00"/>
    <x v="3"/>
    <s v="MUMBAI"/>
    <s v="ROHIT"/>
    <s v="Air Conditioner"/>
    <x v="2"/>
    <n v="1"/>
    <n v="38000"/>
    <n v="0.08"/>
    <n v="34960"/>
    <n v="34960"/>
    <n v="38000"/>
    <s v="OK"/>
    <n v="2024"/>
    <n v="1"/>
    <s v="Jan"/>
    <x v="0"/>
    <n v="1"/>
    <n v="3040"/>
    <s v="Low Value"/>
  </r>
  <r>
    <s v="ORD007"/>
    <d v="2024-01-07T00:00:00"/>
    <x v="0"/>
    <s v="DELHI"/>
    <s v="RAHUL"/>
    <s v="Laptop"/>
    <x v="0"/>
    <n v="1"/>
    <n v="55000"/>
    <n v="0.12"/>
    <n v="48400"/>
    <n v="48400"/>
    <n v="55000"/>
    <s v="OK"/>
    <n v="2024"/>
    <n v="1"/>
    <s v="Jan"/>
    <x v="0"/>
    <n v="1"/>
    <n v="6600"/>
    <s v="Low Value"/>
  </r>
  <r>
    <s v="ORD008"/>
    <d v="2024-01-08T00:00:00"/>
    <x v="1"/>
    <s v="CHENNAI"/>
    <s v="SURESH"/>
    <s v="Mobile Phone"/>
    <x v="0"/>
    <n v="3"/>
    <n v="15000"/>
    <n v="0.05"/>
    <n v="42750"/>
    <n v="42750"/>
    <n v="45000"/>
    <s v="OK"/>
    <n v="2024"/>
    <n v="1"/>
    <s v="Jan"/>
    <x v="0"/>
    <n v="1"/>
    <n v="2250"/>
    <s v="Low Value"/>
  </r>
  <r>
    <s v="ORD009"/>
    <d v="2024-01-09T00:00:00"/>
    <x v="2"/>
    <s v="PATNA"/>
    <s v="ANITA"/>
    <s v="LED TV"/>
    <x v="0"/>
    <n v="1"/>
    <n v="30000"/>
    <n v="0"/>
    <n v="30000"/>
    <n v="30000"/>
    <n v="30000"/>
    <s v="OK"/>
    <n v="2024"/>
    <n v="1"/>
    <s v="Jan"/>
    <x v="0"/>
    <n v="1"/>
    <n v="0"/>
    <s v="Low Value"/>
  </r>
  <r>
    <s v="ORD010"/>
    <d v="2024-01-10T00:00:00"/>
    <x v="3"/>
    <s v="MUMBAI"/>
    <s v="ROHIT"/>
    <s v="Refrigerator"/>
    <x v="1"/>
    <n v="1"/>
    <n v="42000"/>
    <n v="0.1"/>
    <n v="37800"/>
    <n v="37800"/>
    <n v="42000"/>
    <s v="OK"/>
    <n v="2024"/>
    <n v="1"/>
    <s v="Jan"/>
    <x v="0"/>
    <n v="1"/>
    <n v="4200"/>
    <s v="Low Value"/>
  </r>
  <r>
    <s v="ORD011"/>
    <d v="2024-01-11T00:00:00"/>
    <x v="0"/>
    <s v="NOIDA"/>
    <s v="AMIT"/>
    <s v="Laptop"/>
    <x v="0"/>
    <n v="2"/>
    <n v="52000"/>
    <n v="0.15"/>
    <n v="88400"/>
    <n v="88400"/>
    <n v="104000"/>
    <s v="OK"/>
    <n v="2024"/>
    <n v="1"/>
    <s v="Jan"/>
    <x v="0"/>
    <n v="1"/>
    <n v="15600"/>
    <s v="High Value"/>
  </r>
  <r>
    <s v="ORD012"/>
    <d v="2024-01-12T00:00:00"/>
    <x v="1"/>
    <s v="BANGALORE"/>
    <s v="RAMESH"/>
    <s v="Microwave"/>
    <x v="1"/>
    <n v="2"/>
    <n v="11000"/>
    <n v="0.05"/>
    <n v="20900"/>
    <n v="20900"/>
    <n v="22000"/>
    <s v="OK"/>
    <n v="2024"/>
    <n v="1"/>
    <s v="Jan"/>
    <x v="0"/>
    <n v="1"/>
    <n v="1100"/>
    <s v="Medium Value"/>
  </r>
  <r>
    <s v="ORD013"/>
    <d v="2024-01-13T00:00:00"/>
    <x v="2"/>
    <s v="KOLKATA"/>
    <s v="ANITA"/>
    <s v="Air Conditioner"/>
    <x v="2"/>
    <n v="1"/>
    <n v="40000"/>
    <n v="0.1"/>
    <n v="36000"/>
    <n v="36000"/>
    <n v="40000"/>
    <s v="OK"/>
    <n v="2024"/>
    <n v="1"/>
    <s v="Jan"/>
    <x v="0"/>
    <n v="1"/>
    <n v="4000"/>
    <s v="Low Value"/>
  </r>
  <r>
    <s v="ORD014"/>
    <d v="2024-01-14T00:00:00"/>
    <x v="3"/>
    <s v="PUNE"/>
    <s v="ROHIT"/>
    <s v="Washing Machine"/>
    <x v="1"/>
    <n v="1"/>
    <n v="26000"/>
    <n v="0"/>
    <n v="26000"/>
    <n v="26000"/>
    <n v="26000"/>
    <s v="OK"/>
    <n v="2024"/>
    <n v="1"/>
    <s v="Jan"/>
    <x v="0"/>
    <n v="1"/>
    <n v="0"/>
    <s v="Low Value"/>
  </r>
  <r>
    <s v="ORD015"/>
    <d v="2024-01-15T00:00:00"/>
    <x v="0"/>
    <s v="DELHI"/>
    <s v="RAHUL"/>
    <s v="Mobile Phone"/>
    <x v="0"/>
    <n v="2"/>
    <n v="17000"/>
    <n v="0.05"/>
    <n v="32300"/>
    <n v="32300"/>
    <n v="34000"/>
    <s v="OK"/>
    <n v="2024"/>
    <n v="1"/>
    <s v="Jan"/>
    <x v="0"/>
    <n v="1"/>
    <n v="1700"/>
    <s v="Low Value"/>
  </r>
  <r>
    <s v="ORD016"/>
    <d v="2024-01-16T00:00:00"/>
    <x v="1"/>
    <s v="HYDERABAD"/>
    <s v="SURESH"/>
    <s v="Laptop"/>
    <x v="0"/>
    <n v="1"/>
    <n v="58000"/>
    <n v="0.1"/>
    <n v="52200"/>
    <n v="52200"/>
    <n v="58000"/>
    <s v="OK"/>
    <n v="2024"/>
    <n v="1"/>
    <s v="Jan"/>
    <x v="0"/>
    <n v="1"/>
    <n v="5800"/>
    <s v="High Value"/>
  </r>
  <r>
    <s v="ORD017"/>
    <d v="2024-01-17T00:00:00"/>
    <x v="2"/>
    <s v="PATNA"/>
    <s v="ANITA"/>
    <s v="Refrigerator"/>
    <x v="1"/>
    <n v="1"/>
    <n v="41000"/>
    <n v="7.0000000000000007E-2"/>
    <n v="38130"/>
    <n v="38130"/>
    <n v="41000"/>
    <s v="OK"/>
    <n v="2024"/>
    <n v="1"/>
    <s v="Jan"/>
    <x v="0"/>
    <n v="1"/>
    <n v="2870.0000000000005"/>
    <s v="Low Value"/>
  </r>
  <r>
    <s v="ORD018"/>
    <d v="2024-01-18T00:00:00"/>
    <x v="3"/>
    <s v="MUMBAI"/>
    <s v="ROHIT"/>
    <s v="LED TV"/>
    <x v="0"/>
    <n v="2"/>
    <n v="31000"/>
    <n v="0.1"/>
    <n v="55800"/>
    <n v="55800"/>
    <n v="62000"/>
    <s v="OK"/>
    <n v="2024"/>
    <n v="1"/>
    <s v="Jan"/>
    <x v="0"/>
    <n v="1"/>
    <n v="6200"/>
    <s v="High Value"/>
  </r>
  <r>
    <s v="ORD019"/>
    <d v="2024-01-19T00:00:00"/>
    <x v="0"/>
    <s v="GURGAON"/>
    <s v="AMIT"/>
    <s v="Air Conditioner"/>
    <x v="2"/>
    <n v="1"/>
    <n v="39000"/>
    <n v="0"/>
    <n v="39000"/>
    <n v="39000"/>
    <n v="39000"/>
    <s v="OK"/>
    <n v="2024"/>
    <n v="1"/>
    <s v="Jan"/>
    <x v="0"/>
    <n v="1"/>
    <n v="0"/>
    <s v="Low Value"/>
  </r>
  <r>
    <s v="ORD020"/>
    <d v="2024-01-20T00:00:00"/>
    <x v="1"/>
    <s v="CHENNAI"/>
    <s v="SURESH"/>
    <s v="Washing Machine"/>
    <x v="1"/>
    <n v="1"/>
    <n v="27000"/>
    <n v="0.05"/>
    <n v="25650"/>
    <n v="25650"/>
    <n v="27000"/>
    <s v="OK"/>
    <n v="2024"/>
    <n v="1"/>
    <s v="Jan"/>
    <x v="0"/>
    <n v="1"/>
    <n v="1350"/>
    <s v="Low Value"/>
  </r>
  <r>
    <s v="ORD021"/>
    <d v="2024-01-21T00:00:00"/>
    <x v="2"/>
    <s v="KOLKATA"/>
    <s v="ANITA"/>
    <s v="Laptop"/>
    <x v="0"/>
    <n v="1"/>
    <n v="54000"/>
    <n v="0.1"/>
    <n v="48600"/>
    <n v="48600"/>
    <n v="54000"/>
    <s v="OK"/>
    <n v="2024"/>
    <n v="1"/>
    <s v="Jan"/>
    <x v="0"/>
    <n v="1"/>
    <n v="5400"/>
    <s v="Low Value"/>
  </r>
  <r>
    <s v="ORD022"/>
    <d v="2024-01-22T00:00:00"/>
    <x v="3"/>
    <s v="PUNE"/>
    <s v="ROHIT"/>
    <s v="Mobile Phone"/>
    <x v="0"/>
    <n v="3"/>
    <n v="16000"/>
    <n v="0.08"/>
    <n v="44160"/>
    <n v="44160"/>
    <n v="48000"/>
    <s v="OK"/>
    <n v="2024"/>
    <n v="1"/>
    <s v="Jan"/>
    <x v="0"/>
    <n v="1"/>
    <n v="3840"/>
    <s v="Low Value"/>
  </r>
  <r>
    <s v="ORD023"/>
    <d v="2024-01-23T00:00:00"/>
    <x v="0"/>
    <s v="DELHI"/>
    <s v="RAHUL"/>
    <s v="Microwave"/>
    <x v="1"/>
    <n v="1"/>
    <n v="13000"/>
    <n v="0"/>
    <n v="13000"/>
    <n v="13000"/>
    <n v="13000"/>
    <s v="OK"/>
    <n v="2024"/>
    <n v="1"/>
    <s v="Jan"/>
    <x v="0"/>
    <n v="1"/>
    <n v="0"/>
    <s v="Medium Value"/>
  </r>
  <r>
    <s v="ORD024"/>
    <d v="2024-01-24T00:00:00"/>
    <x v="1"/>
    <s v="BANGALORE"/>
    <s v="RAMESH"/>
    <s v="LED TV"/>
    <x v="0"/>
    <n v="1"/>
    <n v="33000"/>
    <n v="0.05"/>
    <n v="31350"/>
    <n v="31350"/>
    <n v="33000"/>
    <s v="OK"/>
    <n v="2024"/>
    <n v="1"/>
    <s v="Jan"/>
    <x v="0"/>
    <n v="1"/>
    <n v="1650"/>
    <s v="Low Value"/>
  </r>
  <r>
    <s v="ORD025"/>
    <d v="2024-01-25T00:00:00"/>
    <x v="2"/>
    <s v="PATNA"/>
    <s v="ANITA"/>
    <s v="Mobile Phone"/>
    <x v="0"/>
    <n v="2"/>
    <n v="15500"/>
    <n v="0.05"/>
    <n v="29450"/>
    <n v="29450"/>
    <n v="31000"/>
    <s v="OK"/>
    <n v="2024"/>
    <n v="1"/>
    <s v="Jan"/>
    <x v="0"/>
    <n v="1"/>
    <n v="1550"/>
    <s v="Low Value"/>
  </r>
  <r>
    <s v="ORD026"/>
    <d v="2024-01-26T00:00:00"/>
    <x v="3"/>
    <s v="MUMBAI"/>
    <s v="ROHIT"/>
    <s v="Laptop"/>
    <x v="0"/>
    <n v="1"/>
    <n v="60000"/>
    <n v="0.1"/>
    <n v="54000"/>
    <n v="54000"/>
    <n v="60000"/>
    <s v="OK"/>
    <n v="2024"/>
    <n v="1"/>
    <s v="Jan"/>
    <x v="0"/>
    <n v="1"/>
    <n v="6000"/>
    <s v="High Value"/>
  </r>
  <r>
    <s v="ORD027"/>
    <d v="2024-01-27T00:00:00"/>
    <x v="0"/>
    <s v="NOIDA"/>
    <s v="AMIT"/>
    <s v="Refrigerator"/>
    <x v="1"/>
    <n v="1"/>
    <n v="43000"/>
    <n v="0.08"/>
    <n v="39560"/>
    <n v="39560"/>
    <n v="43000"/>
    <s v="OK"/>
    <n v="2024"/>
    <n v="1"/>
    <s v="Jan"/>
    <x v="0"/>
    <n v="1"/>
    <n v="3440"/>
    <s v="Low Value"/>
  </r>
  <r>
    <s v="ORD028"/>
    <d v="2024-01-28T00:00:00"/>
    <x v="1"/>
    <s v="HYDERABAD"/>
    <s v="SURESH"/>
    <s v="Air Conditioner"/>
    <x v="2"/>
    <n v="1"/>
    <n v="41000"/>
    <n v="0"/>
    <n v="41000"/>
    <n v="41000"/>
    <n v="41000"/>
    <s v="OK"/>
    <n v="2024"/>
    <n v="1"/>
    <s v="Jan"/>
    <x v="0"/>
    <n v="1"/>
    <n v="0"/>
    <s v="Low Value"/>
  </r>
  <r>
    <s v="ORD029"/>
    <d v="2024-01-29T00:00:00"/>
    <x v="2"/>
    <s v="KOLKATA"/>
    <s v="ANITA"/>
    <s v="Washing Machine"/>
    <x v="1"/>
    <n v="2"/>
    <n v="25000"/>
    <n v="0.1"/>
    <n v="45000"/>
    <n v="45000"/>
    <n v="50000"/>
    <s v="OK"/>
    <n v="2024"/>
    <n v="1"/>
    <s v="Jan"/>
    <x v="0"/>
    <n v="1"/>
    <n v="5000"/>
    <s v="Low Value"/>
  </r>
  <r>
    <s v="ORD030"/>
    <d v="2024-01-30T00:00:00"/>
    <x v="3"/>
    <s v="PUNE"/>
    <s v="ROHIT"/>
    <s v="Microwave"/>
    <x v="1"/>
    <n v="1"/>
    <n v="12500"/>
    <n v="0.05"/>
    <n v="11875"/>
    <n v="11875"/>
    <n v="12500"/>
    <s v="OK"/>
    <n v="2024"/>
    <n v="1"/>
    <s v="Jan"/>
    <x v="0"/>
    <n v="1"/>
    <n v="625"/>
    <s v="Medium Value"/>
  </r>
  <r>
    <s v="ORD031"/>
    <d v="2024-01-31T00:00:00"/>
    <x v="0"/>
    <s v="DELHI"/>
    <s v="RAHUL"/>
    <s v="LED TV"/>
    <x v="0"/>
    <n v="1"/>
    <n v="34000"/>
    <n v="0.1"/>
    <n v="30600"/>
    <n v="30600"/>
    <n v="34000"/>
    <s v="OK"/>
    <n v="2024"/>
    <n v="1"/>
    <s v="Jan"/>
    <x v="0"/>
    <n v="1"/>
    <n v="3400"/>
    <s v="Low Value"/>
  </r>
  <r>
    <s v="ORD032"/>
    <d v="2024-02-01T00:00:00"/>
    <x v="1"/>
    <s v="CHENNAI"/>
    <s v="SURESH"/>
    <s v="Laptop"/>
    <x v="0"/>
    <n v="2"/>
    <n v="56000"/>
    <n v="0.12"/>
    <n v="98560"/>
    <n v="98560"/>
    <n v="112000"/>
    <s v="OK"/>
    <n v="2024"/>
    <n v="2"/>
    <s v="Feb"/>
    <x v="1"/>
    <n v="1"/>
    <n v="13440"/>
    <s v="High Value"/>
  </r>
  <r>
    <s v="ORD033"/>
    <d v="2024-02-02T00:00:00"/>
    <x v="2"/>
    <s v="PATNA"/>
    <s v="ANITA"/>
    <s v="Air Conditioner"/>
    <x v="2"/>
    <n v="1"/>
    <n v="42000"/>
    <n v="0.05"/>
    <n v="39900"/>
    <n v="39900"/>
    <n v="42000"/>
    <s v="OK"/>
    <n v="2024"/>
    <n v="2"/>
    <s v="Feb"/>
    <x v="1"/>
    <n v="1"/>
    <n v="2100"/>
    <s v="Low Value"/>
  </r>
  <r>
    <s v="ORD034"/>
    <d v="2024-02-03T00:00:00"/>
    <x v="3"/>
    <s v="MUMBAI"/>
    <s v="ROHIT"/>
    <s v="Mobile Phone"/>
    <x v="0"/>
    <n v="2"/>
    <n v="16500"/>
    <n v="0"/>
    <n v="33000"/>
    <n v="33000"/>
    <n v="33000"/>
    <s v="OK"/>
    <n v="2024"/>
    <n v="2"/>
    <s v="Feb"/>
    <x v="1"/>
    <n v="1"/>
    <n v="0"/>
    <s v="Low Value"/>
  </r>
  <r>
    <s v="ORD035"/>
    <d v="2024-02-04T00:00:00"/>
    <x v="0"/>
    <s v="GURGAON"/>
    <s v="AMIT"/>
    <s v="Washing Machine"/>
    <x v="1"/>
    <n v="1"/>
    <n v="29000"/>
    <n v="0.1"/>
    <n v="26100"/>
    <n v="26100"/>
    <n v="29000"/>
    <s v="OK"/>
    <n v="2024"/>
    <n v="2"/>
    <s v="Feb"/>
    <x v="1"/>
    <n v="1"/>
    <n v="2900"/>
    <s v="Low Value"/>
  </r>
  <r>
    <s v="ORD036"/>
    <d v="2024-02-05T00:00:00"/>
    <x v="1"/>
    <s v="BANGALORE"/>
    <s v="RAMESH"/>
    <s v="Refrigerator"/>
    <x v="1"/>
    <n v="1"/>
    <n v="46000"/>
    <n v="0.08"/>
    <n v="42320"/>
    <n v="42320"/>
    <n v="46000"/>
    <s v="OK"/>
    <n v="2024"/>
    <n v="2"/>
    <s v="Feb"/>
    <x v="1"/>
    <n v="1"/>
    <n v="3680"/>
    <s v="Low Value"/>
  </r>
  <r>
    <s v="ORD037"/>
    <d v="2024-02-06T00:00:00"/>
    <x v="2"/>
    <s v="KOLKATA"/>
    <s v="ANITA"/>
    <s v="LED TV"/>
    <x v="0"/>
    <n v="2"/>
    <n v="31500"/>
    <n v="0.1"/>
    <n v="56700"/>
    <n v="56700"/>
    <n v="63000"/>
    <s v="OK"/>
    <n v="2024"/>
    <n v="2"/>
    <s v="Feb"/>
    <x v="1"/>
    <n v="1"/>
    <n v="6300"/>
    <s v="High Value"/>
  </r>
  <r>
    <s v="ORD038"/>
    <d v="2024-02-07T00:00:00"/>
    <x v="3"/>
    <s v="PUNE"/>
    <s v="ROHIT"/>
    <s v="Air Conditioner"/>
    <x v="2"/>
    <n v="1"/>
    <n v="39500"/>
    <n v="0.05"/>
    <n v="37525"/>
    <n v="37525"/>
    <n v="39500"/>
    <s v="OK"/>
    <n v="2024"/>
    <n v="2"/>
    <s v="Feb"/>
    <x v="1"/>
    <n v="1"/>
    <n v="1975"/>
    <s v="Low Value"/>
  </r>
  <r>
    <s v="ORD039"/>
    <d v="2024-02-08T00:00:00"/>
    <x v="0"/>
    <s v="DELHI"/>
    <s v="RAHUL"/>
    <s v="Laptop"/>
    <x v="0"/>
    <n v="1"/>
    <n v="59000"/>
    <n v="0"/>
    <n v="59000"/>
    <n v="59000"/>
    <n v="59000"/>
    <s v="OK"/>
    <n v="2024"/>
    <n v="2"/>
    <s v="Feb"/>
    <x v="1"/>
    <n v="1"/>
    <n v="0"/>
    <s v="High Value"/>
  </r>
  <r>
    <s v="ORD040"/>
    <d v="2024-02-09T00:00:00"/>
    <x v="1"/>
    <s v="HYDERABAD"/>
    <s v="SURESH"/>
    <s v="Mobile Phone"/>
    <x v="0"/>
    <n v="3"/>
    <n v="15000"/>
    <n v="0.05"/>
    <n v="42750"/>
    <n v="42750"/>
    <n v="45000"/>
    <s v="OK"/>
    <n v="2024"/>
    <n v="2"/>
    <s v="Feb"/>
    <x v="1"/>
    <n v="1"/>
    <n v="2250"/>
    <s v="Low Value"/>
  </r>
  <r>
    <s v="ORD041"/>
    <d v="2024-02-10T00:00:00"/>
    <x v="2"/>
    <s v="BHUBANESWAR"/>
    <s v="ANITA"/>
    <s v="Microwave"/>
    <x v="1"/>
    <n v="1"/>
    <n v="14000"/>
    <n v="0.05"/>
    <n v="13300"/>
    <n v="13300"/>
    <n v="14000"/>
    <s v="OK"/>
    <n v="2024"/>
    <n v="2"/>
    <s v="Feb"/>
    <x v="1"/>
    <n v="1"/>
    <n v="700"/>
    <s v="Medium Value"/>
  </r>
  <r>
    <s v="ORD042"/>
    <d v="2024-02-11T00:00:00"/>
    <x v="3"/>
    <s v="MUMBAI"/>
    <s v="ROHIT"/>
    <s v="Refrigerator"/>
    <x v="1"/>
    <n v="1"/>
    <n v="44000"/>
    <n v="0.1"/>
    <n v="39600"/>
    <n v="39600"/>
    <n v="44000"/>
    <s v="OK"/>
    <n v="2024"/>
    <n v="2"/>
    <s v="Feb"/>
    <x v="1"/>
    <n v="1"/>
    <n v="4400"/>
    <s v="Low Value"/>
  </r>
  <r>
    <s v="ORD043"/>
    <d v="2024-02-12T00:00:00"/>
    <x v="0"/>
    <s v="DELHI"/>
    <s v="RAHUL"/>
    <s v="Air Conditioner"/>
    <x v="2"/>
    <n v="1"/>
    <n v="40500"/>
    <n v="0"/>
    <n v="40500"/>
    <n v="40500"/>
    <n v="40500"/>
    <s v="OK"/>
    <n v="2024"/>
    <n v="2"/>
    <s v="Feb"/>
    <x v="1"/>
    <n v="1"/>
    <n v="0"/>
    <s v="Low Value"/>
  </r>
  <r>
    <s v="ORD044"/>
    <d v="2024-02-13T00:00:00"/>
    <x v="1"/>
    <s v="COIMBATORE"/>
    <s v="SURESH"/>
    <s v="LED TV"/>
    <x v="0"/>
    <n v="2"/>
    <n v="29500"/>
    <n v="0.08"/>
    <n v="54280"/>
    <n v="54280"/>
    <n v="59000"/>
    <s v="OK"/>
    <n v="2024"/>
    <n v="2"/>
    <s v="Feb"/>
    <x v="1"/>
    <n v="1"/>
    <n v="4720"/>
    <s v="High Value"/>
  </r>
  <r>
    <s v="ORD045"/>
    <d v="2024-02-14T00:00:00"/>
    <x v="3"/>
    <s v="PUNE"/>
    <s v="ROHIT"/>
    <s v="Laptop"/>
    <x v="0"/>
    <n v="1"/>
    <n v="61500"/>
    <n v="0.1"/>
    <n v="55350"/>
    <n v="55350"/>
    <n v="61500"/>
    <s v="OK"/>
    <n v="2024"/>
    <n v="2"/>
    <s v="Feb"/>
    <x v="1"/>
    <n v="1"/>
    <n v="6150"/>
    <s v="High Value"/>
  </r>
  <r>
    <s v="ORD046"/>
    <d v="2024-02-15T00:00:00"/>
    <x v="2"/>
    <s v="RANCHI"/>
    <s v="ANITA"/>
    <s v="Mobile Phone"/>
    <x v="0"/>
    <n v="2"/>
    <n v="17500"/>
    <n v="0.05"/>
    <n v="33250"/>
    <n v="33250"/>
    <n v="35000"/>
    <s v="OK"/>
    <n v="2024"/>
    <n v="2"/>
    <s v="Feb"/>
    <x v="1"/>
    <n v="1"/>
    <n v="1750"/>
    <s v="Low Value"/>
  </r>
  <r>
    <s v="ORD047"/>
    <d v="2024-02-16T00:00:00"/>
    <x v="0"/>
    <s v="NOIDA"/>
    <s v="AMIT"/>
    <s v="Washing Machine"/>
    <x v="1"/>
    <n v="1"/>
    <n v="30500"/>
    <n v="0"/>
    <n v="30500"/>
    <n v="30500"/>
    <n v="30500"/>
    <s v="OK"/>
    <n v="2024"/>
    <n v="2"/>
    <s v="Feb"/>
    <x v="1"/>
    <n v="1"/>
    <n v="0"/>
    <s v="Low Value"/>
  </r>
  <r>
    <s v="ORD048"/>
    <d v="2024-02-17T00:00:00"/>
    <x v="1"/>
    <s v="CHENNAI"/>
    <s v="SURESH"/>
    <s v="Refrigerator"/>
    <x v="1"/>
    <n v="1"/>
    <n v="47000"/>
    <n v="0.08"/>
    <n v="43240"/>
    <n v="43240"/>
    <n v="47000"/>
    <s v="OK"/>
    <n v="2024"/>
    <n v="2"/>
    <s v="Feb"/>
    <x v="1"/>
    <n v="1"/>
    <n v="3760"/>
    <s v="Low Value"/>
  </r>
  <r>
    <s v="ORD049"/>
    <d v="2024-02-18T00:00:00"/>
    <x v="3"/>
    <s v="AHMEDABAD"/>
    <s v="ROHIT"/>
    <s v="Air Conditioner"/>
    <x v="2"/>
    <n v="1"/>
    <n v="41500"/>
    <n v="0.05"/>
    <n v="39425"/>
    <n v="39425"/>
    <n v="41500"/>
    <s v="OK"/>
    <n v="2024"/>
    <n v="2"/>
    <s v="Feb"/>
    <x v="1"/>
    <n v="1"/>
    <n v="2075"/>
    <s v="Low Value"/>
  </r>
  <r>
    <s v="ORD050"/>
    <d v="2024-02-19T00:00:00"/>
    <x v="2"/>
    <s v="KOLKATA"/>
    <s v="ANITA"/>
    <s v="Laptop"/>
    <x v="0"/>
    <n v="2"/>
    <n v="55500"/>
    <n v="0.12"/>
    <n v="97680"/>
    <n v="97680"/>
    <n v="111000"/>
    <s v="OK"/>
    <n v="2024"/>
    <n v="2"/>
    <s v="Feb"/>
    <x v="1"/>
    <n v="1"/>
    <n v="13320"/>
    <s v="High Value"/>
  </r>
  <r>
    <s v="ORD051"/>
    <d v="2024-02-20T00:00:00"/>
    <x v="0"/>
    <s v="GURGAON"/>
    <s v="AMIT"/>
    <s v="LED TV"/>
    <x v="0"/>
    <n v="1"/>
    <n v="35000"/>
    <n v="0.1"/>
    <n v="31500"/>
    <n v="31500"/>
    <n v="35000"/>
    <s v="OK"/>
    <n v="2024"/>
    <n v="2"/>
    <s v="Feb"/>
    <x v="1"/>
    <n v="1"/>
    <n v="3500"/>
    <s v="Low Value"/>
  </r>
  <r>
    <s v="ORD052"/>
    <d v="2024-02-21T00:00:00"/>
    <x v="1"/>
    <s v="MADURAI"/>
    <s v="SURESH"/>
    <s v="Mobile Phone"/>
    <x v="0"/>
    <n v="3"/>
    <n v="14500"/>
    <n v="0.05"/>
    <n v="41325"/>
    <n v="41325"/>
    <n v="43500"/>
    <s v="OK"/>
    <n v="2024"/>
    <n v="2"/>
    <s v="Feb"/>
    <x v="1"/>
    <n v="1"/>
    <n v="2175"/>
    <s v="Low Value"/>
  </r>
  <r>
    <s v="ORD053"/>
    <d v="2024-02-22T00:00:00"/>
    <x v="3"/>
    <s v="SURAT"/>
    <s v="ROHIT"/>
    <s v="Microwave"/>
    <x v="1"/>
    <n v="1"/>
    <n v="13500"/>
    <n v="0"/>
    <n v="13500"/>
    <n v="13500"/>
    <n v="13500"/>
    <s v="OK"/>
    <n v="2024"/>
    <n v="2"/>
    <s v="Feb"/>
    <x v="1"/>
    <n v="1"/>
    <n v="0"/>
    <s v="Medium Value"/>
  </r>
  <r>
    <s v="ORD054"/>
    <d v="2024-02-23T00:00:00"/>
    <x v="2"/>
    <s v="PATNA"/>
    <s v="ANITA"/>
    <s v="Washing Machine"/>
    <x v="1"/>
    <n v="2"/>
    <n v="26500"/>
    <n v="0.1"/>
    <n v="47700"/>
    <n v="47700"/>
    <n v="53000"/>
    <s v="OK"/>
    <n v="2024"/>
    <n v="2"/>
    <s v="Feb"/>
    <x v="1"/>
    <n v="1"/>
    <n v="5300"/>
    <s v="Low Value"/>
  </r>
  <r>
    <s v="ORD055"/>
    <d v="2024-02-24T00:00:00"/>
    <x v="0"/>
    <s v="DELHI"/>
    <s v="RAHUL"/>
    <s v="Laptop"/>
    <x v="0"/>
    <n v="1"/>
    <n v="60500"/>
    <n v="0.15"/>
    <n v="51425"/>
    <n v="51425"/>
    <n v="60500"/>
    <s v="OK"/>
    <n v="2024"/>
    <n v="2"/>
    <s v="Feb"/>
    <x v="1"/>
    <n v="1"/>
    <n v="9075"/>
    <s v="High Value"/>
  </r>
  <r>
    <s v="ORD056"/>
    <d v="2024-02-25T00:00:00"/>
    <x v="1"/>
    <s v="TRICHY"/>
    <s v="SURESH"/>
    <s v="Air Conditioner"/>
    <x v="2"/>
    <n v="1"/>
    <n v="39500"/>
    <n v="0.05"/>
    <n v="37525"/>
    <n v="37525"/>
    <n v="39500"/>
    <s v="OK"/>
    <n v="2024"/>
    <n v="2"/>
    <s v="Feb"/>
    <x v="1"/>
    <n v="1"/>
    <n v="1975"/>
    <s v="Low Value"/>
  </r>
  <r>
    <s v="ORD057"/>
    <d v="2024-02-26T00:00:00"/>
    <x v="3"/>
    <s v="VADODARA"/>
    <s v="ROHIT"/>
    <s v="Refrigerator"/>
    <x v="1"/>
    <n v="1"/>
    <n v="45500"/>
    <n v="0.08"/>
    <n v="41860"/>
    <n v="41860"/>
    <n v="45500"/>
    <s v="OK"/>
    <n v="2024"/>
    <n v="2"/>
    <s v="Feb"/>
    <x v="1"/>
    <n v="1"/>
    <n v="3640"/>
    <s v="Low Value"/>
  </r>
  <r>
    <s v="ORD058"/>
    <d v="2024-02-27T00:00:00"/>
    <x v="2"/>
    <s v="GUWAHATI"/>
    <s v="ANITA"/>
    <s v="LED TV"/>
    <x v="0"/>
    <n v="2"/>
    <n v="32500"/>
    <n v="0.1"/>
    <n v="58500"/>
    <n v="58500"/>
    <n v="65000"/>
    <s v="OK"/>
    <n v="2024"/>
    <n v="2"/>
    <s v="Feb"/>
    <x v="1"/>
    <n v="1"/>
    <n v="6500"/>
    <s v="High Value"/>
  </r>
  <r>
    <s v="ORD059"/>
    <d v="2024-02-28T00:00:00"/>
    <x v="0"/>
    <s v="FARIDABAD"/>
    <s v="AMIT"/>
    <s v="Mobile Phone"/>
    <x v="0"/>
    <n v="2"/>
    <n v="16500"/>
    <n v="0"/>
    <n v="33000"/>
    <n v="33000"/>
    <n v="33000"/>
    <s v="OK"/>
    <n v="2024"/>
    <n v="2"/>
    <s v="Feb"/>
    <x v="1"/>
    <n v="1"/>
    <n v="0"/>
    <s v="Low Value"/>
  </r>
  <r>
    <s v="ORD060"/>
    <d v="2024-02-29T00:00:00"/>
    <x v="1"/>
    <s v="KOCHI"/>
    <s v="SURESH"/>
    <s v="Laptop"/>
    <x v="0"/>
    <n v="1"/>
    <n v="57500"/>
    <n v="0.1"/>
    <n v="51750"/>
    <n v="51750"/>
    <n v="57500"/>
    <s v="OK"/>
    <n v="2024"/>
    <n v="2"/>
    <s v="Feb"/>
    <x v="1"/>
    <n v="1"/>
    <n v="5750"/>
    <s v="High Value"/>
  </r>
  <r>
    <s v="ORD061"/>
    <d v="2024-03-01T00:00:00"/>
    <x v="3"/>
    <s v="MUMBAI"/>
    <s v="ROHIT"/>
    <s v="LED TV"/>
    <x v="0"/>
    <n v="1"/>
    <n v="34500"/>
    <n v="0.05"/>
    <n v="32775"/>
    <n v="32775"/>
    <n v="34500"/>
    <s v="OK"/>
    <n v="2024"/>
    <n v="3"/>
    <s v="Mar"/>
    <x v="2"/>
    <n v="1"/>
    <n v="1725"/>
    <s v="Low Value"/>
  </r>
  <r>
    <s v="ORD062"/>
    <d v="2024-03-02T00:00:00"/>
    <x v="2"/>
    <s v="SILIGURI"/>
    <s v="ANITA"/>
    <s v="Air Conditioner"/>
    <x v="2"/>
    <n v="1"/>
    <n v="42500"/>
    <n v="0.08"/>
    <n v="39100"/>
    <n v="39100"/>
    <n v="42500"/>
    <s v="OK"/>
    <n v="2024"/>
    <n v="3"/>
    <s v="Mar"/>
    <x v="2"/>
    <n v="1"/>
    <n v="3400"/>
    <s v="Low Value"/>
  </r>
  <r>
    <s v="ORD063"/>
    <d v="2024-03-03T00:00:00"/>
    <x v="0"/>
    <s v="DELHI"/>
    <s v="RAHUL"/>
    <s v="Microwave"/>
    <x v="1"/>
    <n v="1"/>
    <n v="14500"/>
    <n v="0"/>
    <n v="14500"/>
    <n v="14500"/>
    <n v="14500"/>
    <s v="OK"/>
    <n v="2024"/>
    <n v="3"/>
    <s v="Mar"/>
    <x v="2"/>
    <n v="1"/>
    <n v="0"/>
    <s v="Medium Value"/>
  </r>
  <r>
    <s v="ORD064"/>
    <d v="2024-03-04T00:00:00"/>
    <x v="1"/>
    <s v="BANGALORE"/>
    <s v="RAMESH"/>
    <s v="Laptop"/>
    <x v="0"/>
    <n v="2"/>
    <n v="58500"/>
    <n v="0.1"/>
    <n v="105300"/>
    <n v="105300"/>
    <n v="117000"/>
    <s v="OK"/>
    <n v="2024"/>
    <n v="3"/>
    <s v="Mar"/>
    <x v="2"/>
    <n v="1"/>
    <n v="11700"/>
    <s v="High Value"/>
  </r>
  <r>
    <s v="ORD065"/>
    <d v="2024-03-05T00:00:00"/>
    <x v="3"/>
    <s v="PUNE"/>
    <s v="ROHIT"/>
    <s v="Mobile Phone"/>
    <x v="0"/>
    <n v="3"/>
    <n v="15800"/>
    <n v="0.05"/>
    <n v="45030"/>
    <n v="45030"/>
    <n v="47400"/>
    <s v="OK"/>
    <n v="2024"/>
    <n v="3"/>
    <s v="Mar"/>
    <x v="2"/>
    <n v="1"/>
    <n v="2370"/>
    <s v="Low Value"/>
  </r>
  <r>
    <s v="ORD066"/>
    <d v="2024-03-06T00:00:00"/>
    <x v="2"/>
    <s v="KOLKATA"/>
    <s v="ANITA"/>
    <s v="Refrigerator"/>
    <x v="1"/>
    <n v="1"/>
    <n v="47000"/>
    <n v="0.1"/>
    <n v="42300"/>
    <n v="42300"/>
    <n v="47000"/>
    <s v="OK"/>
    <n v="2024"/>
    <n v="3"/>
    <s v="Mar"/>
    <x v="2"/>
    <n v="1"/>
    <n v="4700"/>
    <s v="Low Value"/>
  </r>
  <r>
    <s v="ORD067"/>
    <d v="2024-03-07T00:00:00"/>
    <x v="0"/>
    <s v="NOIDA"/>
    <s v="AMIT"/>
    <s v="Air Conditioner"/>
    <x v="2"/>
    <n v="1"/>
    <n v="41000"/>
    <n v="0.05"/>
    <n v="38950"/>
    <n v="38950"/>
    <n v="41000"/>
    <s v="OK"/>
    <n v="2024"/>
    <n v="3"/>
    <s v="Mar"/>
    <x v="2"/>
    <n v="1"/>
    <n v="2050"/>
    <s v="Low Value"/>
  </r>
  <r>
    <s v="ORD068"/>
    <d v="2024-03-08T00:00:00"/>
    <x v="1"/>
    <s v="CHENNAI"/>
    <s v="SURESH"/>
    <s v="Washing Machine"/>
    <x v="1"/>
    <n v="2"/>
    <n v="28500"/>
    <n v="0.08"/>
    <n v="52440"/>
    <n v="52440"/>
    <n v="57000"/>
    <s v="OK"/>
    <n v="2024"/>
    <n v="3"/>
    <s v="Mar"/>
    <x v="2"/>
    <n v="1"/>
    <n v="4560"/>
    <s v="High Value"/>
  </r>
  <r>
    <s v="ORD069"/>
    <d v="2024-03-09T00:00:00"/>
    <x v="2"/>
    <s v="PATNA"/>
    <s v="ANITA"/>
    <s v="Laptop"/>
    <x v="0"/>
    <n v="1"/>
    <n v="56500"/>
    <n v="0.12"/>
    <n v="49720"/>
    <n v="49720"/>
    <n v="56500"/>
    <s v="OK"/>
    <n v="2024"/>
    <n v="3"/>
    <s v="Mar"/>
    <x v="2"/>
    <n v="1"/>
    <n v="6780"/>
    <s v="Low Value"/>
  </r>
  <r>
    <s v="ORD070"/>
    <d v="2024-03-10T00:00:00"/>
    <x v="3"/>
    <s v="PUNE"/>
    <s v="ROHIT"/>
    <s v="LED TV"/>
    <x v="0"/>
    <n v="2"/>
    <n v="33500"/>
    <n v="0.1"/>
    <n v="60300"/>
    <n v="60300"/>
    <n v="67000"/>
    <s v="OK"/>
    <n v="2024"/>
    <n v="3"/>
    <s v="Mar"/>
    <x v="2"/>
    <n v="1"/>
    <n v="6700"/>
    <s v="High Value"/>
  </r>
  <r>
    <s v="ORD071"/>
    <d v="2024-03-11T00:00:00"/>
    <x v="0"/>
    <s v="DELHI"/>
    <s v="RAHUL"/>
    <s v="Refrigerator"/>
    <x v="1"/>
    <n v="1"/>
    <n v="45500"/>
    <n v="0"/>
    <n v="45500"/>
    <n v="45500"/>
    <n v="45500"/>
    <s v="OK"/>
    <n v="2024"/>
    <n v="3"/>
    <s v="Mar"/>
    <x v="2"/>
    <n v="1"/>
    <n v="0"/>
    <s v="Low Value"/>
  </r>
  <r>
    <s v="ORD072"/>
    <d v="2024-03-12T00:00:00"/>
    <x v="1"/>
    <s v="COIMBATORE"/>
    <s v="SURESH"/>
    <s v="Mobile Phone"/>
    <x v="0"/>
    <n v="2"/>
    <n v="15200"/>
    <n v="0.05"/>
    <n v="28880"/>
    <n v="28880"/>
    <n v="30400"/>
    <s v="OK"/>
    <n v="2024"/>
    <n v="3"/>
    <s v="Mar"/>
    <x v="2"/>
    <n v="1"/>
    <n v="1520"/>
    <s v="Low Value"/>
  </r>
  <r>
    <s v="ORD073"/>
    <d v="2024-03-13T00:00:00"/>
    <x v="2"/>
    <s v="RANCHI"/>
    <s v="ANITA"/>
    <s v="Microwave"/>
    <x v="1"/>
    <n v="1"/>
    <n v="13800"/>
    <n v="0.05"/>
    <n v="13110"/>
    <n v="13110"/>
    <n v="13800"/>
    <s v="OK"/>
    <n v="2024"/>
    <n v="3"/>
    <s v="Mar"/>
    <x v="2"/>
    <n v="1"/>
    <n v="690"/>
    <s v="Medium Value"/>
  </r>
  <r>
    <s v="ORD074"/>
    <d v="2024-03-14T00:00:00"/>
    <x v="3"/>
    <s v="AHMEDABAD"/>
    <s v="ROHIT"/>
    <s v="Laptop"/>
    <x v="0"/>
    <n v="1"/>
    <n v="62000"/>
    <n v="0.1"/>
    <n v="55800"/>
    <n v="55800"/>
    <n v="62000"/>
    <s v="OK"/>
    <n v="2024"/>
    <n v="3"/>
    <s v="Mar"/>
    <x v="2"/>
    <n v="1"/>
    <n v="6200"/>
    <s v="High Value"/>
  </r>
  <r>
    <s v="ORD075"/>
    <d v="2024-03-15T00:00:00"/>
    <x v="0"/>
    <s v="GURGAON"/>
    <s v="AMIT"/>
    <s v="LED TV"/>
    <x v="0"/>
    <n v="1"/>
    <n v="36000"/>
    <n v="0.1"/>
    <n v="32400"/>
    <n v="32400"/>
    <n v="36000"/>
    <s v="OK"/>
    <n v="2024"/>
    <n v="3"/>
    <s v="Mar"/>
    <x v="2"/>
    <n v="1"/>
    <n v="3600"/>
    <s v="Low Value"/>
  </r>
  <r>
    <s v="ORD076"/>
    <d v="2024-03-16T00:00:00"/>
    <x v="1"/>
    <s v="TRIVANDRUM"/>
    <s v="SURESH"/>
    <s v="Air Conditioner"/>
    <x v="2"/>
    <n v="1"/>
    <n v="40500"/>
    <n v="0.05"/>
    <n v="38475"/>
    <n v="38475"/>
    <n v="40500"/>
    <s v="OK"/>
    <n v="2024"/>
    <n v="3"/>
    <s v="Mar"/>
    <x v="2"/>
    <n v="1"/>
    <n v="2025"/>
    <s v="Low Value"/>
  </r>
  <r>
    <s v="ORD077"/>
    <d v="2024-03-17T00:00:00"/>
    <x v="2"/>
    <s v="GUWAHATI"/>
    <s v="ANITA"/>
    <s v="Washing Machine"/>
    <x v="1"/>
    <n v="2"/>
    <n v="25500"/>
    <n v="0.1"/>
    <n v="45900"/>
    <n v="45900"/>
    <n v="51000"/>
    <s v="OK"/>
    <n v="2024"/>
    <n v="3"/>
    <s v="Mar"/>
    <x v="2"/>
    <n v="1"/>
    <n v="5100"/>
    <s v="Low Value"/>
  </r>
  <r>
    <s v="ORD078"/>
    <d v="2024-03-18T00:00:00"/>
    <x v="3"/>
    <s v="VADODARA"/>
    <s v="ROHIT"/>
    <s v="Mobile Phone"/>
    <x v="0"/>
    <n v="2"/>
    <n v="16800"/>
    <n v="0"/>
    <n v="33600"/>
    <n v="33600"/>
    <n v="33600"/>
    <s v="OK"/>
    <n v="2024"/>
    <n v="3"/>
    <s v="Mar"/>
    <x v="2"/>
    <n v="1"/>
    <n v="0"/>
    <s v="Low Value"/>
  </r>
  <r>
    <s v="ORD079"/>
    <d v="2024-03-19T00:00:00"/>
    <x v="0"/>
    <s v="DELHI"/>
    <s v="RAHUL"/>
    <s v="Laptop"/>
    <x v="0"/>
    <n v="1"/>
    <n v="61000"/>
    <n v="0.12"/>
    <n v="53680"/>
    <n v="53680"/>
    <n v="61000"/>
    <s v="OK"/>
    <n v="2024"/>
    <n v="3"/>
    <s v="Mar"/>
    <x v="2"/>
    <n v="1"/>
    <n v="7320"/>
    <s v="High Value"/>
  </r>
  <r>
    <s v="ORD080"/>
    <d v="2024-03-20T00:00:00"/>
    <x v="1"/>
    <s v="KOCHI"/>
    <s v="SURESH"/>
    <s v="LED TV"/>
    <x v="0"/>
    <n v="2"/>
    <n v="32500"/>
    <n v="0.08"/>
    <n v="59800"/>
    <n v="59800"/>
    <n v="65000"/>
    <s v="OK"/>
    <n v="2024"/>
    <n v="3"/>
    <s v="Mar"/>
    <x v="2"/>
    <n v="1"/>
    <n v="5200"/>
    <s v="High Value"/>
  </r>
  <r>
    <s v="ORD081"/>
    <d v="2024-03-21T00:00:00"/>
    <x v="2"/>
    <s v="CUTTACK"/>
    <s v="ANITA"/>
    <s v="Mobile Phone"/>
    <x v="0"/>
    <n v="2"/>
    <n v="16200"/>
    <n v="0.05"/>
    <n v="30780"/>
    <n v="30780"/>
    <n v="32400"/>
    <s v="OK"/>
    <n v="2024"/>
    <n v="3"/>
    <s v="Mar"/>
    <x v="2"/>
    <n v="1"/>
    <n v="1620"/>
    <s v="Low Value"/>
  </r>
  <r>
    <s v="ORD082"/>
    <d v="2024-03-22T00:00:00"/>
    <x v="3"/>
    <s v="MUMBAI"/>
    <s v="ROHIT"/>
    <s v="Laptop"/>
    <x v="0"/>
    <n v="1"/>
    <n v="62500"/>
    <n v="0.1"/>
    <n v="56250"/>
    <n v="56250"/>
    <n v="62500"/>
    <s v="OK"/>
    <n v="2024"/>
    <n v="3"/>
    <s v="Mar"/>
    <x v="2"/>
    <n v="1"/>
    <n v="6250"/>
    <s v="High Value"/>
  </r>
  <r>
    <s v="ORD083"/>
    <d v="2024-03-23T00:00:00"/>
    <x v="0"/>
    <s v="DELHI"/>
    <s v="RAHUL"/>
    <s v="Washing Machine"/>
    <x v="1"/>
    <n v="1"/>
    <n v="31500"/>
    <n v="0"/>
    <n v="31500"/>
    <n v="31500"/>
    <n v="31500"/>
    <s v="OK"/>
    <n v="2024"/>
    <n v="3"/>
    <s v="Mar"/>
    <x v="2"/>
    <n v="1"/>
    <n v="0"/>
    <s v="Low Value"/>
  </r>
  <r>
    <s v="ORD084"/>
    <d v="2024-03-24T00:00:00"/>
    <x v="1"/>
    <s v="SALEM"/>
    <s v="SURESH"/>
    <s v="Refrigerator"/>
    <x v="1"/>
    <n v="1"/>
    <n v="48000"/>
    <n v="0.08"/>
    <n v="44160"/>
    <n v="44160"/>
    <n v="48000"/>
    <s v="OK"/>
    <n v="2024"/>
    <n v="3"/>
    <s v="Mar"/>
    <x v="2"/>
    <n v="1"/>
    <n v="3840"/>
    <s v="Low Value"/>
  </r>
  <r>
    <s v="ORD085"/>
    <d v="2024-03-25T00:00:00"/>
    <x v="3"/>
    <s v="PUNE"/>
    <s v="ROHIT"/>
    <s v="LED TV"/>
    <x v="0"/>
    <n v="2"/>
    <n v="34500"/>
    <n v="0.1"/>
    <n v="62100"/>
    <n v="62100"/>
    <n v="69000"/>
    <s v="OK"/>
    <n v="2024"/>
    <n v="3"/>
    <s v="Mar"/>
    <x v="2"/>
    <n v="1"/>
    <n v="6900"/>
    <s v="High Value"/>
  </r>
  <r>
    <s v="ORD086"/>
    <d v="2024-03-26T00:00:00"/>
    <x v="2"/>
    <s v="DURGAPUR"/>
    <s v="ANITA"/>
    <s v="Air Conditioner"/>
    <x v="2"/>
    <n v="1"/>
    <n v="43500"/>
    <n v="0.05"/>
    <n v="41325"/>
    <n v="41325"/>
    <n v="43500"/>
    <s v="OK"/>
    <n v="2024"/>
    <n v="3"/>
    <s v="Mar"/>
    <x v="2"/>
    <n v="1"/>
    <n v="2175"/>
    <s v="Low Value"/>
  </r>
  <r>
    <s v="ORD087"/>
    <d v="2024-03-27T00:00:00"/>
    <x v="0"/>
    <s v="FARIDABAD"/>
    <s v="AMIT"/>
    <s v="Microwave"/>
    <x v="1"/>
    <n v="1"/>
    <n v="15000"/>
    <n v="0"/>
    <n v="15000"/>
    <n v="15000"/>
    <n v="15000"/>
    <s v="OK"/>
    <n v="2024"/>
    <n v="3"/>
    <s v="Mar"/>
    <x v="2"/>
    <n v="1"/>
    <n v="0"/>
    <s v="Medium Value"/>
  </r>
  <r>
    <s v="ORD088"/>
    <d v="2024-03-28T00:00:00"/>
    <x v="1"/>
    <s v="CHENNAI"/>
    <s v="SURESH"/>
    <s v="Laptop"/>
    <x v="0"/>
    <n v="2"/>
    <n v="59500"/>
    <n v="0.12"/>
    <n v="104720"/>
    <n v="104720"/>
    <n v="119000"/>
    <s v="OK"/>
    <n v="2024"/>
    <n v="3"/>
    <s v="Mar"/>
    <x v="2"/>
    <n v="1"/>
    <n v="14280"/>
    <s v="High Value"/>
  </r>
  <r>
    <s v="ORD089"/>
    <d v="2024-03-29T00:00:00"/>
    <x v="3"/>
    <s v="INDORE"/>
    <s v="ROHIT"/>
    <s v="Mobile Phone"/>
    <x v="0"/>
    <n v="3"/>
    <n v="15900"/>
    <n v="0.05"/>
    <n v="45315"/>
    <n v="45315"/>
    <n v="47700"/>
    <s v="OK"/>
    <n v="2024"/>
    <n v="3"/>
    <s v="Mar"/>
    <x v="2"/>
    <n v="1"/>
    <n v="2385"/>
    <s v="Low Value"/>
  </r>
  <r>
    <s v="ORD090"/>
    <d v="2024-03-30T00:00:00"/>
    <x v="2"/>
    <s v="ASANSOL"/>
    <s v="ANITA"/>
    <s v="LED TV"/>
    <x v="0"/>
    <n v="1"/>
    <n v="33500"/>
    <n v="0.1"/>
    <n v="30150"/>
    <n v="30150"/>
    <n v="33500"/>
    <s v="OK"/>
    <n v="2024"/>
    <n v="3"/>
    <s v="Mar"/>
    <x v="2"/>
    <n v="1"/>
    <n v="3350"/>
    <s v="Low Value"/>
  </r>
  <r>
    <s v="ORD091"/>
    <d v="2024-03-31T00:00:00"/>
    <x v="0"/>
    <s v="NOIDA"/>
    <s v="AMIT"/>
    <s v="Air Conditioner"/>
    <x v="2"/>
    <n v="1"/>
    <n v="42000"/>
    <n v="0.08"/>
    <n v="38640"/>
    <n v="38640"/>
    <n v="42000"/>
    <s v="OK"/>
    <n v="2024"/>
    <n v="3"/>
    <s v="Mar"/>
    <x v="2"/>
    <n v="1"/>
    <n v="3360"/>
    <s v="Low Value"/>
  </r>
  <r>
    <s v="ORD092"/>
    <d v="2024-04-01T00:00:00"/>
    <x v="1"/>
    <s v="TIRUNELVELI"/>
    <s v="SURESH"/>
    <s v="Washing Machine"/>
    <x v="1"/>
    <n v="2"/>
    <n v="29000"/>
    <n v="0.05"/>
    <n v="55100"/>
    <n v="55100"/>
    <n v="58000"/>
    <s v="OK"/>
    <n v="2024"/>
    <n v="4"/>
    <s v="Apr"/>
    <x v="3"/>
    <n v="1"/>
    <n v="2900"/>
    <s v="High Value"/>
  </r>
  <r>
    <s v="ORD093"/>
    <d v="2024-04-02T00:00:00"/>
    <x v="2"/>
    <s v="MUZAFFARPUR"/>
    <s v="ANITA"/>
    <s v="Laptop"/>
    <x v="0"/>
    <n v="1"/>
    <n v="58500"/>
    <n v="0.1"/>
    <n v="52650"/>
    <n v="52650"/>
    <n v="58500"/>
    <s v="OK"/>
    <n v="2024"/>
    <n v="4"/>
    <s v="Apr"/>
    <x v="3"/>
    <n v="1"/>
    <n v="5850"/>
    <s v="High Value"/>
  </r>
  <r>
    <s v="ORD094"/>
    <d v="2024-04-03T00:00:00"/>
    <x v="3"/>
    <s v="BHOPAL"/>
    <s v="ROHIT"/>
    <s v="Refrigerator"/>
    <x v="1"/>
    <n v="1"/>
    <n v="46500"/>
    <n v="0"/>
    <n v="46500"/>
    <n v="46500"/>
    <n v="46500"/>
    <s v="OK"/>
    <n v="2024"/>
    <n v="4"/>
    <s v="Apr"/>
    <x v="3"/>
    <n v="1"/>
    <n v="0"/>
    <s v="Low Value"/>
  </r>
  <r>
    <s v="ORD095"/>
    <d v="2024-04-04T00:00:00"/>
    <x v="0"/>
    <s v="DELHI"/>
    <s v="RAHUL"/>
    <s v="Mobile Phone"/>
    <x v="0"/>
    <n v="2"/>
    <n v="17200"/>
    <n v="0.05"/>
    <n v="32680"/>
    <n v="32680"/>
    <n v="34400"/>
    <s v="OK"/>
    <n v="2024"/>
    <n v="4"/>
    <s v="Apr"/>
    <x v="3"/>
    <n v="1"/>
    <n v="1720"/>
    <s v="Low Value"/>
  </r>
  <r>
    <s v="ORD096"/>
    <d v="2024-04-05T00:00:00"/>
    <x v="1"/>
    <s v="ERODE"/>
    <s v="SURESH"/>
    <s v="Microwave"/>
    <x v="1"/>
    <n v="1"/>
    <n v="14200"/>
    <n v="0.05"/>
    <n v="13490"/>
    <n v="13490"/>
    <n v="14200"/>
    <s v="OK"/>
    <n v="2024"/>
    <n v="4"/>
    <s v="Apr"/>
    <x v="3"/>
    <n v="1"/>
    <n v="710"/>
    <s v="Medium Value"/>
  </r>
  <r>
    <s v="ORD097"/>
    <d v="2024-04-06T00:00:00"/>
    <x v="2"/>
    <s v="SILCHAR"/>
    <s v="ANITA"/>
    <s v="Washing Machine"/>
    <x v="1"/>
    <n v="2"/>
    <n v="26000"/>
    <n v="0.1"/>
    <n v="46800"/>
    <n v="46800"/>
    <n v="52000"/>
    <s v="OK"/>
    <n v="2024"/>
    <n v="4"/>
    <s v="Apr"/>
    <x v="3"/>
    <n v="1"/>
    <n v="5200"/>
    <s v="Low Value"/>
  </r>
  <r>
    <s v="ORD098"/>
    <d v="2024-04-07T00:00:00"/>
    <x v="3"/>
    <s v="NASHIK"/>
    <s v="ROHIT"/>
    <s v="Laptop"/>
    <x v="0"/>
    <n v="1"/>
    <n v="63500"/>
    <n v="0.1"/>
    <n v="57150"/>
    <n v="57150"/>
    <n v="63500"/>
    <s v="OK"/>
    <n v="2024"/>
    <n v="4"/>
    <s v="Apr"/>
    <x v="3"/>
    <n v="1"/>
    <n v="6350"/>
    <s v="High Value"/>
  </r>
  <r>
    <s v="ORD099"/>
    <d v="2024-04-08T00:00:00"/>
    <x v="0"/>
    <s v="GHAZIABAD"/>
    <s v="AMIT"/>
    <s v="LED TV"/>
    <x v="0"/>
    <n v="1"/>
    <n v="35500"/>
    <n v="0.08"/>
    <n v="32660"/>
    <n v="32660"/>
    <n v="35500"/>
    <s v="OK"/>
    <n v="2024"/>
    <n v="4"/>
    <s v="Apr"/>
    <x v="3"/>
    <n v="1"/>
    <n v="2840"/>
    <s v="Low Value"/>
  </r>
  <r>
    <s v="ORD100"/>
    <d v="2024-04-09T00:00:00"/>
    <x v="1"/>
    <s v="PONDICHERRY"/>
    <s v="SURESH"/>
    <s v="Air Conditioner"/>
    <x v="2"/>
    <n v="1"/>
    <n v="41500"/>
    <n v="0.05"/>
    <n v="39425"/>
    <n v="39425"/>
    <n v="41500"/>
    <s v="OK"/>
    <n v="2024"/>
    <n v="4"/>
    <s v="Apr"/>
    <x v="3"/>
    <n v="1"/>
    <n v="2075"/>
    <s v="Low Value"/>
  </r>
  <r>
    <s v="ORD101"/>
    <d v="2024-04-10T00:00:00"/>
    <x v="2"/>
    <s v="MALDA"/>
    <s v="ANITA"/>
    <s v="Mobile Phone"/>
    <x v="0"/>
    <n v="3"/>
    <n v="14800"/>
    <n v="0"/>
    <n v="44400"/>
    <n v="44400"/>
    <n v="44400"/>
    <s v="OK"/>
    <n v="2024"/>
    <n v="4"/>
    <s v="Apr"/>
    <x v="3"/>
    <n v="1"/>
    <n v="0"/>
    <s v="Low Value"/>
  </r>
  <r>
    <s v="ORD102"/>
    <d v="2024-04-11T00:00:00"/>
    <x v="3"/>
    <s v="MUMBAI"/>
    <s v="ROHIT"/>
    <s v="Washing Machine"/>
    <x v="1"/>
    <n v="1"/>
    <n v="32500"/>
    <n v="0.1"/>
    <n v="29250"/>
    <n v="29250"/>
    <n v="32500"/>
    <s v="OK"/>
    <n v="2024"/>
    <n v="4"/>
    <s v="Apr"/>
    <x v="3"/>
    <n v="1"/>
    <n v="3250"/>
    <s v="Low Value"/>
  </r>
  <r>
    <s v="ORD103"/>
    <d v="2024-04-12T00:00:00"/>
    <x v="0"/>
    <s v="DELHI"/>
    <s v="RAHUL"/>
    <s v="Laptop"/>
    <x v="0"/>
    <n v="1"/>
    <n v="62000"/>
    <n v="0.12"/>
    <n v="54560"/>
    <n v="54560"/>
    <n v="62000"/>
    <s v="OK"/>
    <n v="2024"/>
    <n v="4"/>
    <s v="Apr"/>
    <x v="3"/>
    <n v="1"/>
    <n v="7440"/>
    <s v="High Value"/>
  </r>
  <r>
    <s v="ORD104"/>
    <d v="2024-04-13T00:00:00"/>
    <x v="1"/>
    <s v="VELLORE"/>
    <s v="SURESH"/>
    <s v="LED TV"/>
    <x v="0"/>
    <n v="2"/>
    <n v="33000"/>
    <n v="0.1"/>
    <n v="59400"/>
    <n v="59400"/>
    <n v="66000"/>
    <s v="OK"/>
    <n v="2024"/>
    <n v="4"/>
    <s v="Apr"/>
    <x v="3"/>
    <n v="1"/>
    <n v="6600"/>
    <s v="High Value"/>
  </r>
  <r>
    <s v="ORD105"/>
    <d v="2024-04-14T00:00:00"/>
    <x v="2"/>
    <s v="BEGUSARAI"/>
    <s v="ANITA"/>
    <s v="Refrigerator"/>
    <x v="1"/>
    <n v="1"/>
    <n v="47500"/>
    <n v="0.08"/>
    <n v="43700"/>
    <n v="43700"/>
    <n v="47500"/>
    <s v="OK"/>
    <n v="2024"/>
    <n v="4"/>
    <s v="Apr"/>
    <x v="3"/>
    <n v="1"/>
    <n v="3800"/>
    <s v="Low Value"/>
  </r>
  <r>
    <s v="ORD106"/>
    <d v="2024-04-15T00:00:00"/>
    <x v="3"/>
    <s v="AURANGABAD"/>
    <s v="ROHIT"/>
    <s v="Air Conditioner"/>
    <x v="2"/>
    <n v="1"/>
    <n v="43000"/>
    <n v="0"/>
    <n v="43000"/>
    <n v="43000"/>
    <n v="43000"/>
    <s v="OK"/>
    <n v="2024"/>
    <n v="4"/>
    <s v="Apr"/>
    <x v="3"/>
    <n v="1"/>
    <n v="0"/>
    <s v="Low Value"/>
  </r>
  <r>
    <s v="ORD107"/>
    <d v="2024-04-16T00:00:00"/>
    <x v="0"/>
    <s v="GURGAON"/>
    <s v="AMIT"/>
    <s v="Microwave"/>
    <x v="1"/>
    <n v="1"/>
    <n v="15500"/>
    <n v="0.05"/>
    <n v="14725"/>
    <n v="14725"/>
    <n v="15500"/>
    <s v="OK"/>
    <n v="2024"/>
    <n v="4"/>
    <s v="Apr"/>
    <x v="3"/>
    <n v="1"/>
    <n v="775"/>
    <s v="Medium Value"/>
  </r>
  <r>
    <s v="ORD108"/>
    <d v="2024-04-17T00:00:00"/>
    <x v="1"/>
    <s v="NAGERCOIL"/>
    <s v="SURESH"/>
    <s v="Mobile Phone"/>
    <x v="0"/>
    <n v="2"/>
    <n v="15800"/>
    <n v="0.05"/>
    <n v="30020"/>
    <n v="30020"/>
    <n v="31600"/>
    <s v="OK"/>
    <n v="2024"/>
    <n v="4"/>
    <s v="Apr"/>
    <x v="3"/>
    <n v="1"/>
    <n v="1580"/>
    <s v="Low Value"/>
  </r>
  <r>
    <s v="ORD109"/>
    <d v="2024-04-18T00:00:00"/>
    <x v="2"/>
    <s v="BARASAT"/>
    <s v="ANITA"/>
    <s v="Laptop"/>
    <x v="0"/>
    <n v="1"/>
    <n v="59500"/>
    <n v="0.1"/>
    <n v="53550"/>
    <n v="53550"/>
    <n v="59500"/>
    <s v="OK"/>
    <n v="2024"/>
    <n v="4"/>
    <s v="Apr"/>
    <x v="3"/>
    <n v="1"/>
    <n v="5950"/>
    <s v="High Value"/>
  </r>
  <r>
    <s v="ORD110"/>
    <d v="2024-04-19T00:00:00"/>
    <x v="3"/>
    <s v="KOLHAPUR"/>
    <s v="ROHIT"/>
    <s v="LED TV"/>
    <x v="0"/>
    <n v="1"/>
    <n v="36500"/>
    <n v="0.1"/>
    <n v="32850"/>
    <n v="32850"/>
    <n v="36500"/>
    <s v="OK"/>
    <n v="2024"/>
    <n v="4"/>
    <s v="Apr"/>
    <x v="3"/>
    <n v="1"/>
    <n v="3650"/>
    <s v="Low Value"/>
  </r>
  <r>
    <s v="ORD111"/>
    <d v="2024-04-20T00:00:00"/>
    <x v="0"/>
    <s v="DELHI"/>
    <s v="RAHUL"/>
    <s v="Air Conditioner"/>
    <x v="2"/>
    <n v="1"/>
    <n v="42500"/>
    <n v="0.08"/>
    <n v="39100"/>
    <n v="39100"/>
    <n v="42500"/>
    <s v="OK"/>
    <n v="2024"/>
    <n v="4"/>
    <s v="Apr"/>
    <x v="3"/>
    <n v="1"/>
    <n v="3400"/>
    <s v="Low Value"/>
  </r>
  <r>
    <s v="ORD112"/>
    <d v="2024-04-21T00:00:00"/>
    <x v="1"/>
    <s v="KARUR"/>
    <s v="SURESH"/>
    <s v="Washing Machine"/>
    <x v="1"/>
    <n v="2"/>
    <n v="29500"/>
    <n v="0.05"/>
    <n v="56050"/>
    <n v="56050"/>
    <n v="59000"/>
    <s v="OK"/>
    <n v="2024"/>
    <n v="4"/>
    <s v="Apr"/>
    <x v="3"/>
    <n v="1"/>
    <n v="2950"/>
    <s v="High Value"/>
  </r>
  <r>
    <s v="ORD113"/>
    <d v="2024-04-22T00:00:00"/>
    <x v="2"/>
    <s v="KHARAGPUR"/>
    <s v="ANITA"/>
    <s v="Microwave"/>
    <x v="1"/>
    <n v="1"/>
    <n v="14800"/>
    <n v="0"/>
    <n v="14800"/>
    <n v="14800"/>
    <n v="14800"/>
    <s v="OK"/>
    <n v="2024"/>
    <n v="4"/>
    <s v="Apr"/>
    <x v="3"/>
    <n v="1"/>
    <n v="0"/>
    <s v="Medium Value"/>
  </r>
  <r>
    <s v="ORD114"/>
    <d v="2024-04-23T00:00:00"/>
    <x v="3"/>
    <s v="THANE"/>
    <s v="ROHIT"/>
    <s v="Mobile Phone"/>
    <x v="0"/>
    <n v="3"/>
    <n v="16200"/>
    <n v="0.05"/>
    <n v="46170"/>
    <n v="46170"/>
    <n v="48600"/>
    <s v="OK"/>
    <n v="2024"/>
    <n v="4"/>
    <s v="Apr"/>
    <x v="3"/>
    <n v="1"/>
    <n v="2430"/>
    <s v="Low Value"/>
  </r>
  <r>
    <s v="ORD115"/>
    <d v="2024-04-24T00:00:00"/>
    <x v="0"/>
    <s v="NOIDA"/>
    <s v="AMIT"/>
    <s v="Laptop"/>
    <x v="0"/>
    <n v="2"/>
    <n v="61000"/>
    <n v="0.12"/>
    <n v="107360"/>
    <n v="107360"/>
    <n v="122000"/>
    <s v="OK"/>
    <n v="2024"/>
    <n v="4"/>
    <s v="Apr"/>
    <x v="3"/>
    <n v="1"/>
    <n v="14640"/>
    <s v="High Value"/>
  </r>
  <r>
    <s v="ORD116"/>
    <d v="2024-04-25T00:00:00"/>
    <x v="1"/>
    <s v="HOSUR"/>
    <s v="SURESH"/>
    <s v="Refrigerator"/>
    <x v="1"/>
    <n v="1"/>
    <n v="49000"/>
    <n v="0.08"/>
    <n v="45080"/>
    <n v="45080"/>
    <n v="49000"/>
    <s v="OK"/>
    <n v="2024"/>
    <n v="4"/>
    <s v="Apr"/>
    <x v="3"/>
    <n v="1"/>
    <n v="3920"/>
    <s v="Low Value"/>
  </r>
  <r>
    <s v="ORD117"/>
    <d v="2024-04-26T00:00:00"/>
    <x v="2"/>
    <s v="JALPAIGURI"/>
    <s v="ANITA"/>
    <s v="LED TV"/>
    <x v="0"/>
    <n v="2"/>
    <n v="34000"/>
    <n v="0.1"/>
    <n v="61200"/>
    <n v="61200"/>
    <n v="68000"/>
    <s v="OK"/>
    <n v="2024"/>
    <n v="4"/>
    <s v="Apr"/>
    <x v="3"/>
    <n v="1"/>
    <n v="6800"/>
    <s v="High Value"/>
  </r>
  <r>
    <s v="ORD118"/>
    <d v="2024-04-27T00:00:00"/>
    <x v="3"/>
    <s v="SOLAPUR"/>
    <s v="ROHIT"/>
    <s v="Air Conditioner"/>
    <x v="2"/>
    <n v="1"/>
    <n v="44000"/>
    <n v="0.05"/>
    <n v="41800"/>
    <n v="41800"/>
    <n v="44000"/>
    <s v="OK"/>
    <n v="2024"/>
    <n v="4"/>
    <s v="Apr"/>
    <x v="3"/>
    <n v="1"/>
    <n v="2200"/>
    <s v="Low Value"/>
  </r>
  <r>
    <s v="ORD119"/>
    <d v="2024-04-28T00:00:00"/>
    <x v="0"/>
    <s v="DELHI"/>
    <s v="RAHUL"/>
    <s v="Mobile Phone"/>
    <x v="0"/>
    <n v="2"/>
    <n v="17500"/>
    <n v="0"/>
    <n v="35000"/>
    <n v="35000"/>
    <n v="35000"/>
    <s v="OK"/>
    <n v="2024"/>
    <n v="4"/>
    <s v="Apr"/>
    <x v="3"/>
    <n v="1"/>
    <n v="0"/>
    <s v="Low Value"/>
  </r>
  <r>
    <s v="ORD120"/>
    <d v="2024-04-29T00:00:00"/>
    <x v="1"/>
    <s v="KUMBAKONAM"/>
    <s v="SURESH"/>
    <s v="Laptop"/>
    <x v="0"/>
    <n v="1"/>
    <n v="60000"/>
    <n v="0.1"/>
    <n v="54000"/>
    <n v="54000"/>
    <n v="60000"/>
    <s v="OK"/>
    <n v="2024"/>
    <n v="4"/>
    <s v="Apr"/>
    <x v="3"/>
    <n v="1"/>
    <n v="6000"/>
    <s v="High Val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EC8793-9B4C-4A4D-97BA-9E487C42DD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3">
    <pivotField showAll="0"/>
    <pivotField numFmtId="14" showAll="0"/>
    <pivotField showAll="0">
      <items count="5">
        <item x="2"/>
        <item x="0"/>
        <item x="1"/>
        <item x="3"/>
        <item t="default"/>
      </items>
    </pivotField>
    <pivotField showAll="0"/>
    <pivotField showAll="0"/>
    <pivotField showAll="0"/>
    <pivotField showAll="0">
      <items count="4">
        <item x="2"/>
        <item x="0"/>
        <item x="1"/>
        <item t="default"/>
      </items>
    </pivotField>
    <pivotField showAll="0"/>
    <pivotField showAll="0"/>
    <pivotField showAll="0"/>
    <pivotField showAll="0"/>
    <pivotField dataField="1" showAll="0"/>
    <pivotField dataField="1" showAll="0"/>
    <pivotField showAll="0"/>
    <pivotField showAll="0"/>
    <pivotField showAll="0"/>
    <pivotField showAll="0"/>
    <pivotField showAll="0">
      <items count="5">
        <item x="0"/>
        <item x="1"/>
        <item x="2"/>
        <item x="3"/>
        <item t="default"/>
      </items>
    </pivotField>
    <pivotField dataField="1" showAll="0"/>
    <pivotField dataField="1" showAll="0"/>
    <pivotField showAll="0"/>
    <pivotField dragToRow="0" dragToCol="0" dragToPage="0" showAll="0" defaultSubtotal="0"/>
    <pivotField dataField="1" dragToRow="0" dragToCol="0" dragToPage="0" showAll="0" defaultSubtotal="0"/>
  </pivotFields>
  <rowItems count="1">
    <i/>
  </rowItems>
  <colFields count="1">
    <field x="-2"/>
  </colFields>
  <colItems count="5">
    <i>
      <x/>
    </i>
    <i i="1">
      <x v="1"/>
    </i>
    <i i="2">
      <x v="2"/>
    </i>
    <i i="3">
      <x v="3"/>
    </i>
    <i i="4">
      <x v="4"/>
    </i>
  </colItems>
  <dataFields count="5">
    <dataField name="Total_Sales" fld="11" baseField="0" baseItem="1" numFmtId="7"/>
    <dataField name="Total_Orders" fld="18" baseField="0" baseItem="1" numFmtId="1"/>
    <dataField name="Gross_Sales_Value" fld="12" baseField="0" baseItem="2" numFmtId="164"/>
    <dataField name="Total_Discount" fld="19" baseField="0" baseItem="3" numFmtId="164"/>
    <dataField name="Average_Order-Value" fld="22" baseField="0" baseItem="4" numFmtId="164"/>
  </dataFields>
  <formats count="10">
    <format dxfId="68">
      <pivotArea dataOnly="0" labelOnly="1" outline="0" fieldPosition="0">
        <references count="1">
          <reference field="4294967294" count="5">
            <x v="0"/>
            <x v="1"/>
            <x v="2"/>
            <x v="3"/>
            <x v="4"/>
          </reference>
        </references>
      </pivotArea>
    </format>
    <format dxfId="67">
      <pivotArea outline="0" collapsedLevelsAreSubtotals="1" fieldPosition="0"/>
    </format>
    <format dxfId="66">
      <pivotArea type="all" dataOnly="0" outline="0" fieldPosition="0"/>
    </format>
    <format dxfId="65">
      <pivotArea outline="0" collapsedLevelsAreSubtotals="1" fieldPosition="0"/>
    </format>
    <format dxfId="64">
      <pivotArea outline="0" collapsedLevelsAreSubtotals="1" fieldPosition="0"/>
    </format>
    <format dxfId="63">
      <pivotArea dataOnly="0" outline="0" fieldPosition="0">
        <references count="1">
          <reference field="4294967294" count="5">
            <x v="0"/>
            <x v="1"/>
            <x v="2"/>
            <x v="3"/>
            <x v="4"/>
          </reference>
        </references>
      </pivotArea>
    </format>
    <format dxfId="62">
      <pivotArea outline="0" collapsedLevelsAreSubtotals="1" fieldPosition="0"/>
    </format>
    <format dxfId="61">
      <pivotArea dataOnly="0" labelOnly="1" outline="0" fieldPosition="0">
        <references count="1">
          <reference field="4294967294" count="5">
            <x v="0"/>
            <x v="1"/>
            <x v="2"/>
            <x v="3"/>
            <x v="4"/>
          </reference>
        </references>
      </pivotArea>
    </format>
    <format dxfId="60">
      <pivotArea dataOnly="0" labelOnly="1" outline="0" fieldPosition="0">
        <references count="1">
          <reference field="4294967294" count="5">
            <x v="0"/>
            <x v="1"/>
            <x v="2"/>
            <x v="3"/>
            <x v="4"/>
          </reference>
        </references>
      </pivotArea>
    </format>
    <format dxfId="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B05AFB-9AC3-4539-971A-87A0926E526C}" name="Region_Pivo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rowHeaderCaption="Region">
  <location ref="A3:B7" firstHeaderRow="1" firstDataRow="1" firstDataCol="1"/>
  <pivotFields count="23">
    <pivotField showAll="0"/>
    <pivotField numFmtId="14" showAll="0"/>
    <pivotField axis="axisRow" showAll="0">
      <items count="5">
        <item x="2"/>
        <item x="0"/>
        <item x="1"/>
        <item x="3"/>
        <item t="default"/>
      </items>
    </pivotField>
    <pivotField showAll="0"/>
    <pivotField showAll="0"/>
    <pivotField showAll="0"/>
    <pivotField showAll="0">
      <items count="4">
        <item x="2"/>
        <item x="0"/>
        <item x="1"/>
        <item t="default"/>
      </items>
    </pivotField>
    <pivotField showAll="0"/>
    <pivotField showAll="0"/>
    <pivotField showAll="0"/>
    <pivotField showAll="0"/>
    <pivotField dataField="1" showAll="0"/>
    <pivotField showAll="0"/>
    <pivotField showAll="0"/>
    <pivotField showAll="0"/>
    <pivotField showAll="0"/>
    <pivotField showAll="0"/>
    <pivotField showAll="0">
      <items count="5">
        <item x="0"/>
        <item x="1"/>
        <item x="2"/>
        <item x="3"/>
        <item t="default"/>
      </items>
    </pivotField>
    <pivotField showAll="0"/>
    <pivotField showAll="0"/>
    <pivotField showAll="0"/>
    <pivotField dragToRow="0" dragToCol="0" dragToPage="0" showAll="0" defaultSubtotal="0"/>
    <pivotField dragToRow="0" dragToCol="0" dragToPage="0" showAll="0" defaultSubtotal="0"/>
  </pivotFields>
  <rowFields count="1">
    <field x="2"/>
  </rowFields>
  <rowItems count="4">
    <i>
      <x/>
    </i>
    <i>
      <x v="1"/>
    </i>
    <i>
      <x v="2"/>
    </i>
    <i>
      <x v="3"/>
    </i>
  </rowItems>
  <colItems count="1">
    <i/>
  </colItems>
  <dataFields count="1">
    <dataField name="Total_Sales" fld="11" baseField="2" baseItem="0" numFmtId="164"/>
  </dataFields>
  <formats count="19">
    <format dxfId="58">
      <pivotArea field="2" type="button" dataOnly="0" labelOnly="1" outline="0" axis="axisRow" fieldPosition="0"/>
    </format>
    <format dxfId="57">
      <pivotArea dataOnly="0" labelOnly="1" outline="0" axis="axisValues" fieldPosition="0"/>
    </format>
    <format dxfId="56">
      <pivotArea grandRow="1" outline="0" collapsedLevelsAreSubtotals="1" fieldPosition="0"/>
    </format>
    <format dxfId="55">
      <pivotArea dataOnly="0" labelOnly="1" grandRow="1" outline="0" fieldPosition="0"/>
    </format>
    <format dxfId="54">
      <pivotArea type="all" dataOnly="0" outline="0" fieldPosition="0"/>
    </format>
    <format dxfId="53">
      <pivotArea outline="0" collapsedLevelsAreSubtotals="1" fieldPosition="0"/>
    </format>
    <format dxfId="52">
      <pivotArea field="2" type="button" dataOnly="0" labelOnly="1" outline="0" axis="axisRow" fieldPosition="0"/>
    </format>
    <format dxfId="51">
      <pivotArea dataOnly="0" labelOnly="1" fieldPosition="0">
        <references count="1">
          <reference field="2" count="0"/>
        </references>
      </pivotArea>
    </format>
    <format dxfId="50">
      <pivotArea dataOnly="0" labelOnly="1" grandRow="1" outline="0" fieldPosition="0"/>
    </format>
    <format dxfId="49">
      <pivotArea dataOnly="0" labelOnly="1" outline="0" axis="axisValues" fieldPosition="0"/>
    </format>
    <format dxfId="48">
      <pivotArea collapsedLevelsAreSubtotals="1" fieldPosition="0">
        <references count="1">
          <reference field="2" count="0"/>
        </references>
      </pivotArea>
    </format>
    <format dxfId="47">
      <pivotArea collapsedLevelsAreSubtotals="1" fieldPosition="0">
        <references count="1">
          <reference field="2" count="0"/>
        </references>
      </pivotArea>
    </format>
    <format dxfId="46">
      <pivotArea dataOnly="0" labelOnly="1" fieldPosition="0">
        <references count="1">
          <reference field="2" count="0"/>
        </references>
      </pivotArea>
    </format>
    <format dxfId="45">
      <pivotArea field="2" type="button" dataOnly="0" labelOnly="1" outline="0" axis="axisRow" fieldPosition="0"/>
    </format>
    <format dxfId="44">
      <pivotArea dataOnly="0" labelOnly="1" outline="0" axis="axisValues" fieldPosition="0"/>
    </format>
    <format dxfId="43">
      <pivotArea field="2" type="button" dataOnly="0" labelOnly="1" outline="0" axis="axisRow" fieldPosition="0"/>
    </format>
    <format dxfId="42">
      <pivotArea dataOnly="0" labelOnly="1" outline="0" axis="axisValues" fieldPosition="0"/>
    </format>
    <format dxfId="41">
      <pivotArea outline="0" collapsedLevelsAreSubtotals="1" fieldPosition="0"/>
    </format>
    <format dxfId="40">
      <pivotArea dataOnly="0" labelOnly="1" fieldPosition="0">
        <references count="1">
          <reference field="2" count="0"/>
        </references>
      </pivotArea>
    </format>
  </formats>
  <chartFormats count="5">
    <chartFormat chart="5" format="4"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 count="1" selected="0">
            <x v="0"/>
          </reference>
        </references>
      </pivotArea>
    </chartFormat>
    <chartFormat chart="5" format="7">
      <pivotArea type="data" outline="0" fieldPosition="0">
        <references count="2">
          <reference field="4294967294" count="1" selected="0">
            <x v="0"/>
          </reference>
          <reference field="2" count="1" selected="0">
            <x v="1"/>
          </reference>
        </references>
      </pivotArea>
    </chartFormat>
    <chartFormat chart="5" format="8">
      <pivotArea type="data" outline="0" fieldPosition="0">
        <references count="2">
          <reference field="4294967294" count="1" selected="0">
            <x v="0"/>
          </reference>
          <reference field="2" count="1" selected="0">
            <x v="2"/>
          </reference>
        </references>
      </pivotArea>
    </chartFormat>
    <chartFormat chart="5" format="9">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E1B9F4-3143-4813-B870-12CE7BD58721}"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rowHeaderCaption="Category">
  <location ref="A3:B6" firstHeaderRow="1" firstDataRow="1" firstDataCol="1"/>
  <pivotFields count="23">
    <pivotField showAll="0"/>
    <pivotField numFmtId="14" showAll="0"/>
    <pivotField showAll="0">
      <items count="5">
        <item x="2"/>
        <item x="0"/>
        <item x="1"/>
        <item x="3"/>
        <item t="default"/>
      </items>
    </pivotField>
    <pivotField showAll="0"/>
    <pivotField showAll="0"/>
    <pivotField showAll="0"/>
    <pivotField axis="axisRow" showAll="0">
      <items count="4">
        <item x="2"/>
        <item x="0"/>
        <item x="1"/>
        <item t="default"/>
      </items>
    </pivotField>
    <pivotField showAll="0"/>
    <pivotField showAll="0"/>
    <pivotField showAll="0"/>
    <pivotField showAll="0"/>
    <pivotField dataField="1" showAll="0"/>
    <pivotField showAll="0"/>
    <pivotField showAll="0"/>
    <pivotField showAll="0"/>
    <pivotField showAll="0"/>
    <pivotField showAll="0"/>
    <pivotField showAll="0">
      <items count="5">
        <item x="0"/>
        <item x="1"/>
        <item x="2"/>
        <item x="3"/>
        <item t="default"/>
      </items>
    </pivotField>
    <pivotField showAll="0"/>
    <pivotField showAll="0"/>
    <pivotField showAll="0"/>
    <pivotField dragToRow="0" dragToCol="0" dragToPage="0" showAll="0" defaultSubtotal="0"/>
    <pivotField dragToRow="0" dragToCol="0" dragToPage="0" showAll="0" defaultSubtotal="0"/>
  </pivotFields>
  <rowFields count="1">
    <field x="6"/>
  </rowFields>
  <rowItems count="3">
    <i>
      <x/>
    </i>
    <i>
      <x v="1"/>
    </i>
    <i>
      <x v="2"/>
    </i>
  </rowItems>
  <colItems count="1">
    <i/>
  </colItems>
  <dataFields count="1">
    <dataField name="Total_Sales" fld="11" baseField="6" baseItem="0" numFmtId="164"/>
  </dataFields>
  <formats count="19">
    <format dxfId="39">
      <pivotArea field="6" type="button" dataOnly="0" labelOnly="1" outline="0" axis="axisRow" fieldPosition="0"/>
    </format>
    <format dxfId="38">
      <pivotArea dataOnly="0" labelOnly="1" outline="0" axis="axisValues" fieldPosition="0"/>
    </format>
    <format dxfId="37">
      <pivotArea grandRow="1" outline="0" collapsedLevelsAreSubtotals="1" fieldPosition="0"/>
    </format>
    <format dxfId="36">
      <pivotArea dataOnly="0" labelOnly="1" grandRow="1" outline="0" fieldPosition="0"/>
    </format>
    <format dxfId="35">
      <pivotArea type="all" dataOnly="0" outline="0" fieldPosition="0"/>
    </format>
    <format dxfId="34">
      <pivotArea outline="0" collapsedLevelsAreSubtotals="1" fieldPosition="0"/>
    </format>
    <format dxfId="33">
      <pivotArea field="6" type="button" dataOnly="0" labelOnly="1" outline="0" axis="axisRow" fieldPosition="0"/>
    </format>
    <format dxfId="32">
      <pivotArea dataOnly="0" labelOnly="1" fieldPosition="0">
        <references count="1">
          <reference field="6" count="0"/>
        </references>
      </pivotArea>
    </format>
    <format dxfId="31">
      <pivotArea dataOnly="0" labelOnly="1" grandRow="1" outline="0" fieldPosition="0"/>
    </format>
    <format dxfId="30">
      <pivotArea dataOnly="0" labelOnly="1" outline="0" axis="axisValues" fieldPosition="0"/>
    </format>
    <format dxfId="29">
      <pivotArea collapsedLevelsAreSubtotals="1" fieldPosition="0">
        <references count="1">
          <reference field="6" count="0"/>
        </references>
      </pivotArea>
    </format>
    <format dxfId="28">
      <pivotArea collapsedLevelsAreSubtotals="1" fieldPosition="0">
        <references count="1">
          <reference field="6" count="0"/>
        </references>
      </pivotArea>
    </format>
    <format dxfId="27">
      <pivotArea dataOnly="0" labelOnly="1" fieldPosition="0">
        <references count="1">
          <reference field="6" count="0"/>
        </references>
      </pivotArea>
    </format>
    <format dxfId="26">
      <pivotArea field="6" type="button" dataOnly="0" labelOnly="1" outline="0" axis="axisRow" fieldPosition="0"/>
    </format>
    <format dxfId="25">
      <pivotArea dataOnly="0" labelOnly="1" outline="0" axis="axisValues" fieldPosition="0"/>
    </format>
    <format dxfId="24">
      <pivotArea field="6" type="button" dataOnly="0" labelOnly="1" outline="0" axis="axisRow" fieldPosition="0"/>
    </format>
    <format dxfId="23">
      <pivotArea dataOnly="0" labelOnly="1" outline="0" axis="axisValues" fieldPosition="0"/>
    </format>
    <format dxfId="22">
      <pivotArea outline="0" collapsedLevelsAreSubtotals="1" fieldPosition="0"/>
    </format>
    <format dxfId="21">
      <pivotArea dataOnly="0" labelOnly="1" fieldPosition="0">
        <references count="1">
          <reference field="6" count="0"/>
        </references>
      </pivotArea>
    </format>
  </formats>
  <chartFormats count="6">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6" count="1" selected="0">
            <x v="0"/>
          </reference>
        </references>
      </pivotArea>
    </chartFormat>
    <chartFormat chart="7" format="7">
      <pivotArea type="data" outline="0" fieldPosition="0">
        <references count="2">
          <reference field="4294967294" count="1" selected="0">
            <x v="0"/>
          </reference>
          <reference field="6" count="1" selected="0">
            <x v="1"/>
          </reference>
        </references>
      </pivotArea>
    </chartFormat>
    <chartFormat chart="7" format="8">
      <pivotArea type="data" outline="0" fieldPosition="0">
        <references count="2">
          <reference field="4294967294" count="1" selected="0">
            <x v="0"/>
          </reference>
          <reference field="6" count="1" selected="0">
            <x v="2"/>
          </reference>
        </references>
      </pivotArea>
    </chartFormat>
    <chartFormat chart="7" format="9" series="1">
      <pivotArea type="data" outline="0" fieldPosition="0">
        <references count="2">
          <reference field="4294967294" count="1" selected="0">
            <x v="0"/>
          </reference>
          <reference field="6" count="1" selected="0">
            <x v="1"/>
          </reference>
        </references>
      </pivotArea>
    </chartFormat>
    <chartFormat chart="7" format="10"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0801F5-AF95-4556-994C-0CC625BDD5C1}"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7" rowHeaderCaption="Year/Month">
  <location ref="A3:B7" firstHeaderRow="1" firstDataRow="1" firstDataCol="1"/>
  <pivotFields count="23">
    <pivotField showAll="0"/>
    <pivotField numFmtId="14" showAll="0"/>
    <pivotField showAll="0">
      <items count="5">
        <item x="2"/>
        <item x="0"/>
        <item x="1"/>
        <item x="3"/>
        <item t="default"/>
      </items>
    </pivotField>
    <pivotField showAll="0"/>
    <pivotField showAll="0"/>
    <pivotField showAll="0"/>
    <pivotField showAll="0">
      <items count="4">
        <item x="2"/>
        <item x="0"/>
        <item x="1"/>
        <item t="default"/>
      </items>
    </pivotField>
    <pivotField showAll="0"/>
    <pivotField showAll="0"/>
    <pivotField showAll="0"/>
    <pivotField showAll="0"/>
    <pivotField dataField="1" showAll="0"/>
    <pivotField showAll="0"/>
    <pivotField showAll="0"/>
    <pivotField showAll="0"/>
    <pivotField showAll="0"/>
    <pivotField showAll="0"/>
    <pivotField axis="axisRow" showAll="0" sortType="ascending">
      <items count="5">
        <item x="0"/>
        <item x="1"/>
        <item x="2"/>
        <item x="3"/>
        <item t="default"/>
      </items>
    </pivotField>
    <pivotField showAll="0"/>
    <pivotField showAll="0"/>
    <pivotField showAll="0"/>
    <pivotField dragToRow="0" dragToCol="0" dragToPage="0" showAll="0" defaultSubtotal="0"/>
    <pivotField dragToRow="0" dragToCol="0" dragToPage="0" showAll="0" defaultSubtotal="0"/>
  </pivotFields>
  <rowFields count="1">
    <field x="17"/>
  </rowFields>
  <rowItems count="4">
    <i>
      <x/>
    </i>
    <i>
      <x v="1"/>
    </i>
    <i>
      <x v="2"/>
    </i>
    <i>
      <x v="3"/>
    </i>
  </rowItems>
  <colItems count="1">
    <i/>
  </colItems>
  <dataFields count="1">
    <dataField name="Total_Sales" fld="11" baseField="17" baseItem="0" numFmtId="164"/>
  </dataFields>
  <formats count="21">
    <format dxfId="20">
      <pivotArea field="17" type="button" dataOnly="0" labelOnly="1" outline="0" axis="axisRow" fieldPosition="0"/>
    </format>
    <format dxfId="19">
      <pivotArea dataOnly="0" labelOnly="1" outline="0" axis="axisValues" fieldPosition="0"/>
    </format>
    <format dxfId="18">
      <pivotArea grandRow="1" outline="0" collapsedLevelsAreSubtotals="1" fieldPosition="0"/>
    </format>
    <format dxfId="17">
      <pivotArea dataOnly="0" labelOnly="1" grandRow="1" outline="0" fieldPosition="0"/>
    </format>
    <format dxfId="16">
      <pivotArea field="17" type="button" dataOnly="0" labelOnly="1" outline="0" axis="axisRow"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field="17" type="button" dataOnly="0" labelOnly="1" outline="0" axis="axisRow" fieldPosition="0"/>
    </format>
    <format dxfId="11">
      <pivotArea dataOnly="0" labelOnly="1" fieldPosition="0">
        <references count="1">
          <reference field="17" count="0"/>
        </references>
      </pivotArea>
    </format>
    <format dxfId="10">
      <pivotArea dataOnly="0" labelOnly="1" grandRow="1" outline="0" fieldPosition="0"/>
    </format>
    <format dxfId="9">
      <pivotArea dataOnly="0" labelOnly="1" outline="0" axis="axisValues" fieldPosition="0"/>
    </format>
    <format dxfId="8">
      <pivotArea collapsedLevelsAreSubtotals="1" fieldPosition="0">
        <references count="1">
          <reference field="17" count="0"/>
        </references>
      </pivotArea>
    </format>
    <format dxfId="7">
      <pivotArea collapsedLevelsAreSubtotals="1" fieldPosition="0">
        <references count="1">
          <reference field="17" count="0"/>
        </references>
      </pivotArea>
    </format>
    <format dxfId="6">
      <pivotArea dataOnly="0" labelOnly="1" fieldPosition="0">
        <references count="1">
          <reference field="17" count="0"/>
        </references>
      </pivotArea>
    </format>
    <format dxfId="5">
      <pivotArea field="17" type="button" dataOnly="0" labelOnly="1" outline="0" axis="axisRow" fieldPosition="0"/>
    </format>
    <format dxfId="4">
      <pivotArea dataOnly="0" labelOnly="1" outline="0" axis="axisValues" fieldPosition="0"/>
    </format>
    <format dxfId="3">
      <pivotArea field="17" type="button" dataOnly="0" labelOnly="1" outline="0" axis="axisRow" fieldPosition="0"/>
    </format>
    <format dxfId="2">
      <pivotArea dataOnly="0" labelOnly="1" outline="0" axis="axisValues" fieldPosition="0"/>
    </format>
    <format dxfId="1">
      <pivotArea outline="0" collapsedLevelsAreSubtotals="1" fieldPosition="0"/>
    </format>
    <format dxfId="0">
      <pivotArea dataOnly="0" labelOnly="1" fieldPosition="0">
        <references count="1">
          <reference field="17" count="0"/>
        </references>
      </pivotArea>
    </format>
  </formats>
  <chartFormats count="1">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EA25316-2323-4CF1-8AE1-69CD12990CDC}" autoFormatId="16" applyNumberFormats="0" applyBorderFormats="0" applyFontFormats="0" applyPatternFormats="0" applyAlignmentFormats="0" applyWidthHeightFormats="0">
  <queryTableRefresh nextId="23" unboundColumnsRight="6">
    <queryTableFields count="19">
      <queryTableField id="1" name="Order_ID" tableColumnId="1"/>
      <queryTableField id="2" name="Order_Date" tableColumnId="2"/>
      <queryTableField id="3" name="Region" tableColumnId="3"/>
      <queryTableField id="4" name="City" tableColumnId="4"/>
      <queryTableField id="5" name="Salesperson" tableColumnId="5"/>
      <queryTableField id="6" name="Product" tableColumnId="6"/>
      <queryTableField id="7" name="Category" tableColumnId="7"/>
      <queryTableField id="8" name="Quantity" tableColumnId="8"/>
      <queryTableField id="9" name="Unit_Price" tableColumnId="9"/>
      <queryTableField id="10" name="Discount" tableColumnId="10"/>
      <queryTableField id="12" name="Calculated_sales" tableColumnId="12"/>
      <queryTableField id="21" dataBound="0" tableColumnId="21"/>
      <queryTableField id="13" name="Sales_status" tableColumnId="13"/>
      <queryTableField id="14" dataBound="0" tableColumnId="14"/>
      <queryTableField id="16" dataBound="0" tableColumnId="16"/>
      <queryTableField id="17" dataBound="0" tableColumnId="17"/>
      <queryTableField id="19" dataBound="0" tableColumnId="19"/>
      <queryTableField id="20" dataBound="0" tableColumnId="20"/>
      <queryTableField id="22" dataBound="0" tableColumnId="22"/>
    </queryTableFields>
    <queryTableDeletedFields count="1">
      <deletedField name="Sales"/>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97D55F9-E01C-4837-8D67-6392DBF1405F}" sourceName="Region">
  <pivotTables>
    <pivotTable tabId="8" name="Region_Pivot"/>
    <pivotTable tabId="5" name="PivotTable1"/>
    <pivotTable tabId="9" name="PivotTable3"/>
    <pivotTable tabId="10" name="PivotTable4"/>
  </pivotTables>
  <data>
    <tabular pivotCacheId="231700033">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32C007B-7CAA-4EDE-9564-70B93AE486B5}" sourceName="Category">
  <pivotTables>
    <pivotTable tabId="9" name="PivotTable3"/>
    <pivotTable tabId="5" name="PivotTable1"/>
    <pivotTable tabId="8" name="Region_Pivot"/>
    <pivotTable tabId="10" name="PivotTable4"/>
  </pivotTables>
  <data>
    <tabular pivotCacheId="231700033">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 xr10:uid="{5270C8BD-B4A4-4590-953E-9C1005595718}" sourceName="Year_Month">
  <pivotTables>
    <pivotTable tabId="10" name="PivotTable4"/>
    <pivotTable tabId="5" name="PivotTable1"/>
    <pivotTable tabId="8" name="Region_Pivot"/>
    <pivotTable tabId="9" name="PivotTable3"/>
  </pivotTables>
  <data>
    <tabular pivotCacheId="231700033">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5501013-41DB-4335-A4E2-38FB0F3CCBFA}" cache="Slicer_Region" caption="Region" style="SlicerStyleLight5" rowHeight="234950"/>
  <slicer name="Category" xr10:uid="{B6F2EC27-F6E5-482C-83D8-A3301899E879}" cache="Slicer_Category" caption="Category" style="SlicerStyleLight5" rowHeight="234950"/>
  <slicer name="Year_Month" xr10:uid="{ABBA4C34-561C-4A30-8A0D-A7C1F6F554E0}" cache="Slicer_Year_Month" caption="Month" style="SlicerStyleLight5"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5B70B5-E118-48A0-945B-0EB288B8686B}" name="Table3" displayName="Table3" ref="A1:J121" totalsRowShown="0" headerRowDxfId="99" dataDxfId="98">
  <autoFilter ref="A1:J121" xr:uid="{DA5B70B5-E118-48A0-945B-0EB288B868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EA5DF66-7A9D-44D7-AFD0-18C0F5904C64}" name="Order ID" dataDxfId="97"/>
    <tableColumn id="2" xr3:uid="{16BA495A-C275-4588-8EE6-545FFBD62B42}" name="Order Date" dataDxfId="96"/>
    <tableColumn id="3" xr3:uid="{8F86F2D3-97EB-4C4F-A00E-D6001B2E3590}" name="Region" dataDxfId="95"/>
    <tableColumn id="4" xr3:uid="{AD7C92F0-1ED0-47F3-9E0A-2DA862261E9C}" name="City" dataDxfId="94"/>
    <tableColumn id="5" xr3:uid="{870F751A-D719-49AC-9CFD-57FDCFC45232}" name="Salesperson" dataDxfId="93"/>
    <tableColumn id="6" xr3:uid="{79D6A286-FF5E-4390-8071-F32C6D6F8D19}" name="Product" dataDxfId="92"/>
    <tableColumn id="8" xr3:uid="{93E98737-53C6-40F3-A147-493DE5079EEF}" name="Quantity" dataDxfId="91"/>
    <tableColumn id="9" xr3:uid="{9E5A2374-0B68-477A-B29D-0C402A4CBB8F}" name="Unit Price" dataDxfId="90"/>
    <tableColumn id="10" xr3:uid="{29499C32-F6CE-49A2-8C8A-9B65973B56EB}" name="Discount" dataDxfId="89"/>
    <tableColumn id="11" xr3:uid="{1E92F9B4-B14E-4253-91A9-0142A47BAD6C}" name="Sales" dataDxfId="88"/>
  </tableColumns>
  <tableStyleInfo name="TableStyleMedium1"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D5362F-A943-4F5C-B94B-EF711F481AD7}" name="Table2" displayName="Table2" ref="A1:B8" totalsRowShown="0" headerRowDxfId="87" dataDxfId="86">
  <autoFilter ref="A1:B8" xr:uid="{4BD5362F-A943-4F5C-B94B-EF711F481AD7}">
    <filterColumn colId="0" hiddenButton="1"/>
    <filterColumn colId="1" hiddenButton="1"/>
  </autoFilter>
  <sortState xmlns:xlrd2="http://schemas.microsoft.com/office/spreadsheetml/2017/richdata2" ref="A2:B8">
    <sortCondition ref="A2:A8"/>
  </sortState>
  <tableColumns count="2">
    <tableColumn id="1" xr3:uid="{49A07DF7-8718-43C7-B350-DEEF0DDD4CE7}" name="Product" dataDxfId="85"/>
    <tableColumn id="2" xr3:uid="{C643E910-0AAF-4929-9790-AC6084DA493D}" name="Category" dataDxfId="84"/>
  </tableColumns>
  <tableStyleInfo name="TableStyleMedium1" showFirstColumn="0"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5C3F278-2A78-4FB4-B4A6-EA90FA3E7FFE}" name="Table3_1" displayName="Table3_1" ref="A1:S121" tableType="queryTable" totalsRowShown="0" headerRowDxfId="83">
  <autoFilter ref="A1:S121" xr:uid="{A5C3F278-2A78-4FB4-B4A6-EA90FA3E7FF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30F156B7-9DBE-4444-A5E0-AD8574E1AE14}" uniqueName="1" name="Order_ID" queryTableFieldId="1" dataDxfId="82"/>
    <tableColumn id="2" xr3:uid="{2B15D890-6CF3-4B90-B549-ED8C038E3602}" uniqueName="2" name="Order_Date" queryTableFieldId="2" dataDxfId="81"/>
    <tableColumn id="3" xr3:uid="{3081249C-E1FE-4434-9513-3E05EBCC02CF}" uniqueName="3" name="Region" queryTableFieldId="3" dataDxfId="80"/>
    <tableColumn id="4" xr3:uid="{75D3A402-5787-4AED-BAE6-F1C436BD50F1}" uniqueName="4" name="City" queryTableFieldId="4" dataDxfId="79"/>
    <tableColumn id="5" xr3:uid="{480F424B-F814-4A9B-81FD-B42F7AC216A0}" uniqueName="5" name="Salesperson" queryTableFieldId="5" dataDxfId="78"/>
    <tableColumn id="6" xr3:uid="{29E21CB1-C82F-49F3-8FCE-B64024CC4781}" uniqueName="6" name="Product" queryTableFieldId="6" dataDxfId="77"/>
    <tableColumn id="7" xr3:uid="{7432D28E-E806-4B6C-B360-7D9D59605059}" uniqueName="7" name="Category" queryTableFieldId="7" dataDxfId="76"/>
    <tableColumn id="8" xr3:uid="{3D2295C8-A516-4063-A9D1-5014938254DC}" uniqueName="8" name="Quantity" queryTableFieldId="8"/>
    <tableColumn id="9" xr3:uid="{561C53F1-B716-481B-B53E-FAF07A487D25}" uniqueName="9" name="Unit_Price" queryTableFieldId="9"/>
    <tableColumn id="10" xr3:uid="{41438A89-FD18-4197-A2AE-8DBC6EF9A7B7}" uniqueName="10" name="Discount" queryTableFieldId="10"/>
    <tableColumn id="12" xr3:uid="{21B5B8E6-8E75-4FEF-B537-2E219F7A2F0F}" uniqueName="12" name="Final_sales" queryTableFieldId="12"/>
    <tableColumn id="21" xr3:uid="{43C25692-D29C-4EFA-AB2D-BFCD5961D1F6}" uniqueName="21" name="Gross_Sales" queryTableFieldId="21" dataDxfId="75">
      <calculatedColumnFormula>Table3_1[[#This Row],[Quantity]]*Table3_1[[#This Row],[Unit_Price]]</calculatedColumnFormula>
    </tableColumn>
    <tableColumn id="13" xr3:uid="{31CF1BD9-E060-4D3E-8FBD-0A0D90AC412C}" uniqueName="13" name="Sales_status" queryTableFieldId="13"/>
    <tableColumn id="14" xr3:uid="{EBE2332B-182F-4341-ACDE-57E4CD497056}" uniqueName="14" name="Year" queryTableFieldId="14" dataDxfId="74">
      <calculatedColumnFormula>YEAR(Table3_1[[#This Row],[Order_Date]])</calculatedColumnFormula>
    </tableColumn>
    <tableColumn id="16" xr3:uid="{B7FA2D3D-2B71-4576-8F3C-64393FB7A34C}" uniqueName="16" name="Month_Name" queryTableFieldId="16" dataDxfId="73">
      <calculatedColumnFormula>TEXT(Table3_1[[#This Row],[Order_Date]],"mmm")</calculatedColumnFormula>
    </tableColumn>
    <tableColumn id="17" xr3:uid="{3D472DE6-9084-4303-9598-FEB2813D93CE}" uniqueName="17" name="Year_Month" queryTableFieldId="17" dataDxfId="72">
      <calculatedColumnFormula>TEXT(Table3_1[[#This Row],[Order_Date]],"yyyy-mm")</calculatedColumnFormula>
    </tableColumn>
    <tableColumn id="19" xr3:uid="{F1186D13-9E40-4D99-9011-F6E843F19904}" uniqueName="19" name="Order_Count_Flag" queryTableFieldId="19" dataDxfId="71">
      <calculatedColumnFormula>1</calculatedColumnFormula>
    </tableColumn>
    <tableColumn id="20" xr3:uid="{88837FD5-A659-48E9-96BB-E604282A0429}" uniqueName="20" name="Discount_Amount" queryTableFieldId="20" dataDxfId="70">
      <calculatedColumnFormula>Table3_1[[#This Row],[Quantity]]*Table3_1[[#This Row],[Unit_Price]]*Table3_1[[#This Row],[Discount]]</calculatedColumnFormula>
    </tableColumn>
    <tableColumn id="22" xr3:uid="{0BB27056-1DAD-4C08-813A-DB138E528DB6}" uniqueName="22" name="Order_Size" queryTableFieldId="22" dataDxfId="69">
      <calculatedColumnFormula>IF(Table3_1[[#This Row],[Final_sales]]&gt;=50000,"High Value",IF(Table3_1[[#This Row],[Final_sales]]&lt;=25000,"Medium Value","Low Value"))</calculatedColumnFormula>
    </tableColumn>
  </tableColumns>
  <tableStyleInfo name="TableStyleMedium8"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FE453-BA41-46DC-9C59-046E7B8A8F26}">
  <dimension ref="A1:J121"/>
  <sheetViews>
    <sheetView zoomScale="115" zoomScaleNormal="115" workbookViewId="0">
      <selection activeCell="L25" sqref="L25"/>
    </sheetView>
  </sheetViews>
  <sheetFormatPr defaultRowHeight="14.4" x14ac:dyDescent="0.3"/>
  <cols>
    <col min="1" max="1" width="10.44140625" customWidth="1"/>
    <col min="2" max="2" width="15" customWidth="1"/>
    <col min="4" max="4" width="13" customWidth="1"/>
    <col min="5" max="5" width="12.88671875" customWidth="1"/>
    <col min="6" max="6" width="19.109375" customWidth="1"/>
    <col min="7" max="7" width="10.21875" customWidth="1"/>
    <col min="8" max="8" width="11.5546875" customWidth="1"/>
    <col min="9" max="9" width="10.21875" customWidth="1"/>
  </cols>
  <sheetData>
    <row r="1" spans="1:10" x14ac:dyDescent="0.3">
      <c r="A1" s="1" t="s">
        <v>288</v>
      </c>
      <c r="B1" s="1" t="s">
        <v>289</v>
      </c>
      <c r="C1" s="1" t="s">
        <v>2</v>
      </c>
      <c r="D1" s="1" t="s">
        <v>3</v>
      </c>
      <c r="E1" s="1" t="s">
        <v>4</v>
      </c>
      <c r="F1" s="1" t="s">
        <v>5</v>
      </c>
      <c r="G1" s="1" t="s">
        <v>7</v>
      </c>
      <c r="H1" s="1" t="s">
        <v>290</v>
      </c>
      <c r="I1" s="1" t="s">
        <v>9</v>
      </c>
      <c r="J1" s="1" t="s">
        <v>10</v>
      </c>
    </row>
    <row r="2" spans="1:10" x14ac:dyDescent="0.3">
      <c r="A2" s="2" t="s">
        <v>11</v>
      </c>
      <c r="B2" s="5">
        <v>45292</v>
      </c>
      <c r="C2" s="2" t="s">
        <v>12</v>
      </c>
      <c r="D2" s="2" t="s">
        <v>13</v>
      </c>
      <c r="E2" s="2" t="s">
        <v>14</v>
      </c>
      <c r="F2" s="2" t="s">
        <v>15</v>
      </c>
      <c r="G2" s="2">
        <v>2</v>
      </c>
      <c r="H2" s="2">
        <v>32000</v>
      </c>
      <c r="I2" s="2">
        <v>0.1</v>
      </c>
      <c r="J2" s="2">
        <v>57600</v>
      </c>
    </row>
    <row r="3" spans="1:10" x14ac:dyDescent="0.3">
      <c r="A3" s="2" t="s">
        <v>17</v>
      </c>
      <c r="B3" s="5">
        <v>45293</v>
      </c>
      <c r="C3" s="2" t="s">
        <v>18</v>
      </c>
      <c r="D3" s="2" t="s">
        <v>13</v>
      </c>
      <c r="E3" s="2" t="s">
        <v>19</v>
      </c>
      <c r="F3" s="2" t="s">
        <v>20</v>
      </c>
      <c r="G3" s="2">
        <v>1</v>
      </c>
      <c r="H3" s="2">
        <v>18000</v>
      </c>
      <c r="I3" s="2"/>
      <c r="J3" s="2">
        <v>18000</v>
      </c>
    </row>
    <row r="4" spans="1:10" x14ac:dyDescent="0.3">
      <c r="A4" s="2" t="s">
        <v>21</v>
      </c>
      <c r="B4" s="5">
        <v>45294</v>
      </c>
      <c r="C4" s="2" t="s">
        <v>22</v>
      </c>
      <c r="D4" s="2" t="s">
        <v>23</v>
      </c>
      <c r="E4" s="2" t="s">
        <v>24</v>
      </c>
      <c r="F4" s="2" t="s">
        <v>25</v>
      </c>
      <c r="G4" s="2">
        <v>1</v>
      </c>
      <c r="H4" s="2">
        <v>45000</v>
      </c>
      <c r="I4" s="2">
        <v>0.05</v>
      </c>
      <c r="J4" s="2">
        <v>42750</v>
      </c>
    </row>
    <row r="5" spans="1:10" x14ac:dyDescent="0.3">
      <c r="A5" s="2" t="s">
        <v>26</v>
      </c>
      <c r="B5" s="5">
        <v>45295</v>
      </c>
      <c r="C5" s="2" t="s">
        <v>27</v>
      </c>
      <c r="D5" s="2" t="s">
        <v>28</v>
      </c>
      <c r="E5" s="2" t="s">
        <v>29</v>
      </c>
      <c r="F5" s="2" t="s">
        <v>30</v>
      </c>
      <c r="G5" s="2">
        <v>2</v>
      </c>
      <c r="H5" s="2">
        <v>28000</v>
      </c>
      <c r="I5" s="2">
        <v>0.1</v>
      </c>
      <c r="J5" s="2">
        <v>50400</v>
      </c>
    </row>
    <row r="6" spans="1:10" x14ac:dyDescent="0.3">
      <c r="A6" s="2" t="s">
        <v>31</v>
      </c>
      <c r="B6" s="5">
        <v>45296</v>
      </c>
      <c r="C6" s="2" t="s">
        <v>32</v>
      </c>
      <c r="D6" s="2" t="s">
        <v>33</v>
      </c>
      <c r="E6" s="2" t="s">
        <v>34</v>
      </c>
      <c r="F6" s="2" t="s">
        <v>35</v>
      </c>
      <c r="G6" s="2">
        <v>1</v>
      </c>
      <c r="H6" s="2">
        <v>12000</v>
      </c>
      <c r="I6" s="2">
        <v>0</v>
      </c>
      <c r="J6" s="2">
        <v>12000</v>
      </c>
    </row>
    <row r="7" spans="1:10" x14ac:dyDescent="0.3">
      <c r="A7" s="2" t="s">
        <v>36</v>
      </c>
      <c r="B7" s="5">
        <v>45297</v>
      </c>
      <c r="C7" s="2" t="s">
        <v>37</v>
      </c>
      <c r="D7" s="2" t="s">
        <v>38</v>
      </c>
      <c r="E7" s="2" t="s">
        <v>39</v>
      </c>
      <c r="F7" s="2" t="s">
        <v>40</v>
      </c>
      <c r="G7" s="2">
        <v>1</v>
      </c>
      <c r="H7" s="2">
        <v>38000</v>
      </c>
      <c r="I7" s="2">
        <v>0.08</v>
      </c>
      <c r="J7" s="2">
        <v>34960</v>
      </c>
    </row>
    <row r="8" spans="1:10" x14ac:dyDescent="0.3">
      <c r="A8" s="2" t="s">
        <v>41</v>
      </c>
      <c r="B8" s="5">
        <v>45298</v>
      </c>
      <c r="C8" s="2" t="s">
        <v>42</v>
      </c>
      <c r="D8" s="2" t="s">
        <v>13</v>
      </c>
      <c r="E8" s="2" t="s">
        <v>14</v>
      </c>
      <c r="F8" s="2" t="s">
        <v>43</v>
      </c>
      <c r="G8" s="2">
        <v>1</v>
      </c>
      <c r="H8" s="2">
        <v>55000</v>
      </c>
      <c r="I8" s="2">
        <v>0.12</v>
      </c>
      <c r="J8" s="2">
        <v>48400</v>
      </c>
    </row>
    <row r="9" spans="1:10" x14ac:dyDescent="0.3">
      <c r="A9" s="2" t="s">
        <v>44</v>
      </c>
      <c r="B9" s="5">
        <v>45299</v>
      </c>
      <c r="C9" s="2" t="s">
        <v>27</v>
      </c>
      <c r="D9" s="2" t="s">
        <v>23</v>
      </c>
      <c r="E9" s="2" t="s">
        <v>24</v>
      </c>
      <c r="F9" s="2" t="s">
        <v>20</v>
      </c>
      <c r="G9" s="2">
        <v>3</v>
      </c>
      <c r="H9" s="2">
        <v>15000</v>
      </c>
      <c r="I9" s="2">
        <v>0.05</v>
      </c>
      <c r="J9" s="2">
        <v>42750</v>
      </c>
    </row>
    <row r="10" spans="1:10" x14ac:dyDescent="0.3">
      <c r="A10" s="2" t="s">
        <v>45</v>
      </c>
      <c r="B10" s="5">
        <v>45300</v>
      </c>
      <c r="C10" s="2" t="s">
        <v>32</v>
      </c>
      <c r="D10" s="2" t="s">
        <v>46</v>
      </c>
      <c r="E10" s="2" t="s">
        <v>34</v>
      </c>
      <c r="F10" s="2" t="s">
        <v>15</v>
      </c>
      <c r="G10" s="2">
        <v>1</v>
      </c>
      <c r="H10" s="2">
        <v>30000</v>
      </c>
      <c r="I10" s="2"/>
      <c r="J10" s="2">
        <v>30000</v>
      </c>
    </row>
    <row r="11" spans="1:10" x14ac:dyDescent="0.3">
      <c r="A11" s="2" t="s">
        <v>47</v>
      </c>
      <c r="B11" s="5">
        <v>45301</v>
      </c>
      <c r="C11" s="2" t="s">
        <v>48</v>
      </c>
      <c r="D11" s="2" t="s">
        <v>38</v>
      </c>
      <c r="E11" s="2" t="s">
        <v>39</v>
      </c>
      <c r="F11" s="2" t="s">
        <v>25</v>
      </c>
      <c r="G11" s="2">
        <v>1</v>
      </c>
      <c r="H11" s="2">
        <v>42000</v>
      </c>
      <c r="I11" s="2">
        <v>0.1</v>
      </c>
      <c r="J11" s="2">
        <v>37800</v>
      </c>
    </row>
    <row r="12" spans="1:10" x14ac:dyDescent="0.3">
      <c r="A12" s="2" t="s">
        <v>49</v>
      </c>
      <c r="B12" s="5">
        <v>45302</v>
      </c>
      <c r="C12" s="2" t="s">
        <v>12</v>
      </c>
      <c r="D12" s="2" t="s">
        <v>50</v>
      </c>
      <c r="E12" s="2" t="s">
        <v>19</v>
      </c>
      <c r="F12" s="2" t="s">
        <v>43</v>
      </c>
      <c r="G12" s="2">
        <v>2</v>
      </c>
      <c r="H12" s="2">
        <v>52000</v>
      </c>
      <c r="I12" s="2">
        <v>0.15</v>
      </c>
      <c r="J12" s="2">
        <v>88400</v>
      </c>
    </row>
    <row r="13" spans="1:10" x14ac:dyDescent="0.3">
      <c r="A13" s="2" t="s">
        <v>51</v>
      </c>
      <c r="B13" s="5">
        <v>45303</v>
      </c>
      <c r="C13" s="2" t="s">
        <v>27</v>
      </c>
      <c r="D13" s="2" t="s">
        <v>28</v>
      </c>
      <c r="E13" s="2" t="s">
        <v>29</v>
      </c>
      <c r="F13" s="2" t="s">
        <v>35</v>
      </c>
      <c r="G13" s="2">
        <v>2</v>
      </c>
      <c r="H13" s="2">
        <v>11000</v>
      </c>
      <c r="I13" s="2">
        <v>0.05</v>
      </c>
      <c r="J13" s="2">
        <v>20900</v>
      </c>
    </row>
    <row r="14" spans="1:10" x14ac:dyDescent="0.3">
      <c r="A14" s="2" t="s">
        <v>52</v>
      </c>
      <c r="B14" s="5">
        <v>45304</v>
      </c>
      <c r="C14" s="2" t="s">
        <v>32</v>
      </c>
      <c r="D14" s="2" t="s">
        <v>33</v>
      </c>
      <c r="E14" s="2" t="s">
        <v>34</v>
      </c>
      <c r="F14" s="2" t="s">
        <v>40</v>
      </c>
      <c r="G14" s="2">
        <v>1</v>
      </c>
      <c r="H14" s="2">
        <v>40000</v>
      </c>
      <c r="I14" s="2">
        <v>0.1</v>
      </c>
      <c r="J14" s="2">
        <v>36000</v>
      </c>
    </row>
    <row r="15" spans="1:10" x14ac:dyDescent="0.3">
      <c r="A15" s="2" t="s">
        <v>53</v>
      </c>
      <c r="B15" s="5">
        <v>45305</v>
      </c>
      <c r="C15" s="2" t="s">
        <v>54</v>
      </c>
      <c r="D15" s="2" t="s">
        <v>55</v>
      </c>
      <c r="E15" s="2" t="s">
        <v>39</v>
      </c>
      <c r="F15" s="2" t="s">
        <v>30</v>
      </c>
      <c r="G15" s="2">
        <v>1</v>
      </c>
      <c r="H15" s="2">
        <v>26000</v>
      </c>
      <c r="I15" s="2"/>
      <c r="J15" s="2">
        <v>26000</v>
      </c>
    </row>
    <row r="16" spans="1:10" x14ac:dyDescent="0.3">
      <c r="A16" s="2" t="s">
        <v>56</v>
      </c>
      <c r="B16" s="5">
        <v>45306</v>
      </c>
      <c r="C16" s="2" t="s">
        <v>42</v>
      </c>
      <c r="D16" s="2" t="s">
        <v>13</v>
      </c>
      <c r="E16" s="2" t="s">
        <v>14</v>
      </c>
      <c r="F16" s="2" t="s">
        <v>20</v>
      </c>
      <c r="G16" s="2">
        <v>2</v>
      </c>
      <c r="H16" s="2">
        <v>17000</v>
      </c>
      <c r="I16" s="2">
        <v>0.05</v>
      </c>
      <c r="J16" s="2">
        <v>32300</v>
      </c>
    </row>
    <row r="17" spans="1:10" x14ac:dyDescent="0.3">
      <c r="A17" s="2" t="s">
        <v>57</v>
      </c>
      <c r="B17" s="5">
        <v>45307</v>
      </c>
      <c r="C17" s="2" t="s">
        <v>27</v>
      </c>
      <c r="D17" s="2" t="s">
        <v>58</v>
      </c>
      <c r="E17" s="2" t="s">
        <v>24</v>
      </c>
      <c r="F17" s="2" t="s">
        <v>43</v>
      </c>
      <c r="G17" s="2">
        <v>1</v>
      </c>
      <c r="H17" s="2">
        <v>58000</v>
      </c>
      <c r="I17" s="2">
        <v>0.1</v>
      </c>
      <c r="J17" s="2">
        <v>52200</v>
      </c>
    </row>
    <row r="18" spans="1:10" x14ac:dyDescent="0.3">
      <c r="A18" s="2" t="s">
        <v>59</v>
      </c>
      <c r="B18" s="5">
        <v>45308</v>
      </c>
      <c r="C18" s="2" t="s">
        <v>60</v>
      </c>
      <c r="D18" s="2" t="s">
        <v>46</v>
      </c>
      <c r="E18" s="2" t="s">
        <v>34</v>
      </c>
      <c r="F18" s="2" t="s">
        <v>25</v>
      </c>
      <c r="G18" s="2">
        <v>1</v>
      </c>
      <c r="H18" s="2">
        <v>41000</v>
      </c>
      <c r="I18" s="2">
        <v>7.0000000000000007E-2</v>
      </c>
      <c r="J18" s="2">
        <v>38130</v>
      </c>
    </row>
    <row r="19" spans="1:10" x14ac:dyDescent="0.3">
      <c r="A19" s="2" t="s">
        <v>61</v>
      </c>
      <c r="B19" s="5">
        <v>45309</v>
      </c>
      <c r="C19" s="2" t="s">
        <v>37</v>
      </c>
      <c r="D19" s="2" t="s">
        <v>38</v>
      </c>
      <c r="E19" s="2" t="s">
        <v>39</v>
      </c>
      <c r="F19" s="2" t="s">
        <v>15</v>
      </c>
      <c r="G19" s="2">
        <v>2</v>
      </c>
      <c r="H19" s="2">
        <v>31000</v>
      </c>
      <c r="I19" s="2">
        <v>0.1</v>
      </c>
      <c r="J19" s="2">
        <v>55800</v>
      </c>
    </row>
    <row r="20" spans="1:10" x14ac:dyDescent="0.3">
      <c r="A20" s="2" t="s">
        <v>62</v>
      </c>
      <c r="B20" s="5">
        <v>45310</v>
      </c>
      <c r="C20" s="2" t="s">
        <v>12</v>
      </c>
      <c r="D20" s="2" t="s">
        <v>63</v>
      </c>
      <c r="E20" s="2" t="s">
        <v>19</v>
      </c>
      <c r="F20" s="2" t="s">
        <v>40</v>
      </c>
      <c r="G20" s="2">
        <v>1</v>
      </c>
      <c r="H20" s="2">
        <v>39000</v>
      </c>
      <c r="I20" s="2"/>
      <c r="J20" s="2">
        <v>39000</v>
      </c>
    </row>
    <row r="21" spans="1:10" x14ac:dyDescent="0.3">
      <c r="A21" s="2" t="s">
        <v>64</v>
      </c>
      <c r="B21" s="5">
        <v>45311</v>
      </c>
      <c r="C21" s="2" t="s">
        <v>27</v>
      </c>
      <c r="D21" s="2" t="s">
        <v>23</v>
      </c>
      <c r="E21" s="2" t="s">
        <v>24</v>
      </c>
      <c r="F21" s="2" t="s">
        <v>30</v>
      </c>
      <c r="G21" s="2">
        <v>1</v>
      </c>
      <c r="H21" s="2">
        <v>27000</v>
      </c>
      <c r="I21" s="2">
        <v>0.05</v>
      </c>
      <c r="J21" s="2">
        <v>25650</v>
      </c>
    </row>
    <row r="22" spans="1:10" x14ac:dyDescent="0.3">
      <c r="A22" s="2" t="s">
        <v>65</v>
      </c>
      <c r="B22" s="5">
        <v>45312</v>
      </c>
      <c r="C22" s="2" t="s">
        <v>32</v>
      </c>
      <c r="D22" s="2" t="s">
        <v>33</v>
      </c>
      <c r="E22" s="2" t="s">
        <v>34</v>
      </c>
      <c r="F22" s="2" t="s">
        <v>43</v>
      </c>
      <c r="G22" s="2">
        <v>1</v>
      </c>
      <c r="H22" s="2">
        <v>54000</v>
      </c>
      <c r="I22" s="2">
        <v>0.1</v>
      </c>
      <c r="J22" s="2">
        <v>48600</v>
      </c>
    </row>
    <row r="23" spans="1:10" x14ac:dyDescent="0.3">
      <c r="A23" s="2" t="s">
        <v>66</v>
      </c>
      <c r="B23" s="5">
        <v>45313</v>
      </c>
      <c r="C23" s="2" t="s">
        <v>54</v>
      </c>
      <c r="D23" s="2" t="s">
        <v>55</v>
      </c>
      <c r="E23" s="2" t="s">
        <v>39</v>
      </c>
      <c r="F23" s="2" t="s">
        <v>20</v>
      </c>
      <c r="G23" s="2">
        <v>3</v>
      </c>
      <c r="H23" s="2">
        <v>16000</v>
      </c>
      <c r="I23" s="2">
        <v>0.08</v>
      </c>
      <c r="J23" s="2">
        <v>44160</v>
      </c>
    </row>
    <row r="24" spans="1:10" x14ac:dyDescent="0.3">
      <c r="A24" s="2" t="s">
        <v>67</v>
      </c>
      <c r="B24" s="5">
        <v>45314</v>
      </c>
      <c r="C24" s="2" t="s">
        <v>42</v>
      </c>
      <c r="D24" s="2" t="s">
        <v>13</v>
      </c>
      <c r="E24" s="2" t="s">
        <v>14</v>
      </c>
      <c r="F24" s="2" t="s">
        <v>35</v>
      </c>
      <c r="G24" s="2">
        <v>1</v>
      </c>
      <c r="H24" s="2">
        <v>13000</v>
      </c>
      <c r="I24" s="2"/>
      <c r="J24" s="2">
        <v>13000</v>
      </c>
    </row>
    <row r="25" spans="1:10" x14ac:dyDescent="0.3">
      <c r="A25" s="2" t="s">
        <v>68</v>
      </c>
      <c r="B25" s="5">
        <v>45315</v>
      </c>
      <c r="C25" s="2" t="s">
        <v>27</v>
      </c>
      <c r="D25" s="2" t="s">
        <v>28</v>
      </c>
      <c r="E25" s="2" t="s">
        <v>29</v>
      </c>
      <c r="F25" s="2" t="s">
        <v>15</v>
      </c>
      <c r="G25" s="2">
        <v>1</v>
      </c>
      <c r="H25" s="2">
        <v>33000</v>
      </c>
      <c r="I25" s="2">
        <v>0.05</v>
      </c>
      <c r="J25" s="2">
        <v>31350</v>
      </c>
    </row>
    <row r="26" spans="1:10" x14ac:dyDescent="0.3">
      <c r="A26" s="2" t="s">
        <v>69</v>
      </c>
      <c r="B26" s="5">
        <v>45316</v>
      </c>
      <c r="C26" s="2" t="s">
        <v>32</v>
      </c>
      <c r="D26" s="2" t="s">
        <v>46</v>
      </c>
      <c r="E26" s="2" t="s">
        <v>34</v>
      </c>
      <c r="F26" s="2" t="s">
        <v>20</v>
      </c>
      <c r="G26" s="2">
        <v>2</v>
      </c>
      <c r="H26" s="2">
        <v>15500</v>
      </c>
      <c r="I26" s="2">
        <v>0.05</v>
      </c>
      <c r="J26" s="2">
        <v>29450</v>
      </c>
    </row>
    <row r="27" spans="1:10" x14ac:dyDescent="0.3">
      <c r="A27" s="2" t="s">
        <v>70</v>
      </c>
      <c r="B27" s="5">
        <v>45317</v>
      </c>
      <c r="C27" s="2" t="s">
        <v>54</v>
      </c>
      <c r="D27" s="2" t="s">
        <v>38</v>
      </c>
      <c r="E27" s="2" t="s">
        <v>39</v>
      </c>
      <c r="F27" s="2" t="s">
        <v>43</v>
      </c>
      <c r="G27" s="2">
        <v>1</v>
      </c>
      <c r="H27" s="2">
        <v>60000</v>
      </c>
      <c r="I27" s="2">
        <v>0.1</v>
      </c>
      <c r="J27" s="2">
        <v>54000</v>
      </c>
    </row>
    <row r="28" spans="1:10" x14ac:dyDescent="0.3">
      <c r="A28" s="2" t="s">
        <v>71</v>
      </c>
      <c r="B28" s="5">
        <v>45318</v>
      </c>
      <c r="C28" s="2" t="s">
        <v>12</v>
      </c>
      <c r="D28" s="2" t="s">
        <v>50</v>
      </c>
      <c r="E28" s="2" t="s">
        <v>19</v>
      </c>
      <c r="F28" s="2" t="s">
        <v>25</v>
      </c>
      <c r="G28" s="2">
        <v>1</v>
      </c>
      <c r="H28" s="2">
        <v>43000</v>
      </c>
      <c r="I28" s="2">
        <v>0.08</v>
      </c>
      <c r="J28" s="2">
        <v>39560</v>
      </c>
    </row>
    <row r="29" spans="1:10" x14ac:dyDescent="0.3">
      <c r="A29" s="2" t="s">
        <v>72</v>
      </c>
      <c r="B29" s="5">
        <v>45319</v>
      </c>
      <c r="C29" s="2" t="s">
        <v>27</v>
      </c>
      <c r="D29" s="2" t="s">
        <v>58</v>
      </c>
      <c r="E29" s="2" t="s">
        <v>24</v>
      </c>
      <c r="F29" s="2" t="s">
        <v>40</v>
      </c>
      <c r="G29" s="2">
        <v>1</v>
      </c>
      <c r="H29" s="2">
        <v>41000</v>
      </c>
      <c r="I29" s="2"/>
      <c r="J29" s="2">
        <v>41000</v>
      </c>
    </row>
    <row r="30" spans="1:10" x14ac:dyDescent="0.3">
      <c r="A30" s="2" t="s">
        <v>73</v>
      </c>
      <c r="B30" s="5">
        <v>45320</v>
      </c>
      <c r="C30" s="2" t="s">
        <v>60</v>
      </c>
      <c r="D30" s="2" t="s">
        <v>33</v>
      </c>
      <c r="E30" s="2" t="s">
        <v>34</v>
      </c>
      <c r="F30" s="2" t="s">
        <v>30</v>
      </c>
      <c r="G30" s="2">
        <v>2</v>
      </c>
      <c r="H30" s="2">
        <v>25000</v>
      </c>
      <c r="I30" s="2">
        <v>0.1</v>
      </c>
      <c r="J30" s="2">
        <v>45000</v>
      </c>
    </row>
    <row r="31" spans="1:10" x14ac:dyDescent="0.3">
      <c r="A31" s="2" t="s">
        <v>74</v>
      </c>
      <c r="B31" s="5">
        <v>45321</v>
      </c>
      <c r="C31" s="2" t="s">
        <v>37</v>
      </c>
      <c r="D31" s="2" t="s">
        <v>55</v>
      </c>
      <c r="E31" s="2" t="s">
        <v>39</v>
      </c>
      <c r="F31" s="2" t="s">
        <v>35</v>
      </c>
      <c r="G31" s="2">
        <v>1</v>
      </c>
      <c r="H31" s="2">
        <v>12500</v>
      </c>
      <c r="I31" s="2">
        <v>0.05</v>
      </c>
      <c r="J31" s="2">
        <v>11875</v>
      </c>
    </row>
    <row r="32" spans="1:10" x14ac:dyDescent="0.3">
      <c r="A32" s="2" t="s">
        <v>75</v>
      </c>
      <c r="B32" s="5">
        <v>45322</v>
      </c>
      <c r="C32" s="2" t="s">
        <v>12</v>
      </c>
      <c r="D32" s="2" t="s">
        <v>13</v>
      </c>
      <c r="E32" s="2" t="s">
        <v>14</v>
      </c>
      <c r="F32" s="2" t="s">
        <v>15</v>
      </c>
      <c r="G32" s="2">
        <v>1</v>
      </c>
      <c r="H32" s="2">
        <v>34000</v>
      </c>
      <c r="I32" s="2">
        <v>0.1</v>
      </c>
      <c r="J32" s="2">
        <v>30600</v>
      </c>
    </row>
    <row r="33" spans="1:10" x14ac:dyDescent="0.3">
      <c r="A33" s="2" t="s">
        <v>76</v>
      </c>
      <c r="B33" s="5">
        <v>45323</v>
      </c>
      <c r="C33" s="2" t="s">
        <v>27</v>
      </c>
      <c r="D33" s="2" t="s">
        <v>23</v>
      </c>
      <c r="E33" s="2" t="s">
        <v>24</v>
      </c>
      <c r="F33" s="2" t="s">
        <v>43</v>
      </c>
      <c r="G33" s="2">
        <v>2</v>
      </c>
      <c r="H33" s="2">
        <v>56000</v>
      </c>
      <c r="I33" s="2">
        <v>0.12</v>
      </c>
      <c r="J33" s="2">
        <v>98560</v>
      </c>
    </row>
    <row r="34" spans="1:10" x14ac:dyDescent="0.3">
      <c r="A34" s="2" t="s">
        <v>77</v>
      </c>
      <c r="B34" s="5">
        <v>45324</v>
      </c>
      <c r="C34" s="2" t="s">
        <v>32</v>
      </c>
      <c r="D34" s="2" t="s">
        <v>46</v>
      </c>
      <c r="E34" s="2" t="s">
        <v>34</v>
      </c>
      <c r="F34" s="2" t="s">
        <v>40</v>
      </c>
      <c r="G34" s="2">
        <v>1</v>
      </c>
      <c r="H34" s="2">
        <v>42000</v>
      </c>
      <c r="I34" s="2">
        <v>0.05</v>
      </c>
      <c r="J34" s="2">
        <v>39900</v>
      </c>
    </row>
    <row r="35" spans="1:10" x14ac:dyDescent="0.3">
      <c r="A35" s="2" t="s">
        <v>78</v>
      </c>
      <c r="B35" s="5">
        <v>45325</v>
      </c>
      <c r="C35" s="2" t="s">
        <v>54</v>
      </c>
      <c r="D35" s="2" t="s">
        <v>38</v>
      </c>
      <c r="E35" s="2" t="s">
        <v>39</v>
      </c>
      <c r="F35" s="2" t="s">
        <v>20</v>
      </c>
      <c r="G35" s="2">
        <v>2</v>
      </c>
      <c r="H35" s="2">
        <v>16500</v>
      </c>
      <c r="I35" s="2"/>
      <c r="J35" s="2">
        <v>33000</v>
      </c>
    </row>
    <row r="36" spans="1:10" x14ac:dyDescent="0.3">
      <c r="A36" s="2" t="s">
        <v>79</v>
      </c>
      <c r="B36" s="5">
        <v>45326</v>
      </c>
      <c r="C36" s="2" t="s">
        <v>12</v>
      </c>
      <c r="D36" s="2" t="s">
        <v>63</v>
      </c>
      <c r="E36" s="2" t="s">
        <v>19</v>
      </c>
      <c r="F36" s="2" t="s">
        <v>30</v>
      </c>
      <c r="G36" s="2">
        <v>1</v>
      </c>
      <c r="H36" s="2">
        <v>29000</v>
      </c>
      <c r="I36" s="2">
        <v>0.1</v>
      </c>
      <c r="J36" s="2">
        <v>26100</v>
      </c>
    </row>
    <row r="37" spans="1:10" x14ac:dyDescent="0.3">
      <c r="A37" s="2" t="s">
        <v>80</v>
      </c>
      <c r="B37" s="5">
        <v>45327</v>
      </c>
      <c r="C37" s="2" t="s">
        <v>27</v>
      </c>
      <c r="D37" s="2" t="s">
        <v>28</v>
      </c>
      <c r="E37" s="2" t="s">
        <v>29</v>
      </c>
      <c r="F37" s="2" t="s">
        <v>25</v>
      </c>
      <c r="G37" s="2">
        <v>1</v>
      </c>
      <c r="H37" s="2">
        <v>46000</v>
      </c>
      <c r="I37" s="2">
        <v>0.08</v>
      </c>
      <c r="J37" s="2">
        <v>42320</v>
      </c>
    </row>
    <row r="38" spans="1:10" x14ac:dyDescent="0.3">
      <c r="A38" s="2" t="s">
        <v>81</v>
      </c>
      <c r="B38" s="5">
        <v>45328</v>
      </c>
      <c r="C38" s="2" t="s">
        <v>32</v>
      </c>
      <c r="D38" s="2" t="s">
        <v>33</v>
      </c>
      <c r="E38" s="2" t="s">
        <v>34</v>
      </c>
      <c r="F38" s="2" t="s">
        <v>15</v>
      </c>
      <c r="G38" s="2">
        <v>2</v>
      </c>
      <c r="H38" s="2">
        <v>31500</v>
      </c>
      <c r="I38" s="2">
        <v>0.1</v>
      </c>
      <c r="J38" s="2">
        <v>56700</v>
      </c>
    </row>
    <row r="39" spans="1:10" x14ac:dyDescent="0.3">
      <c r="A39" s="2" t="s">
        <v>82</v>
      </c>
      <c r="B39" s="5">
        <v>45329</v>
      </c>
      <c r="C39" s="2" t="s">
        <v>54</v>
      </c>
      <c r="D39" s="2" t="s">
        <v>55</v>
      </c>
      <c r="E39" s="2" t="s">
        <v>39</v>
      </c>
      <c r="F39" s="2" t="s">
        <v>40</v>
      </c>
      <c r="G39" s="2">
        <v>1</v>
      </c>
      <c r="H39" s="2">
        <v>39500</v>
      </c>
      <c r="I39" s="2">
        <v>0.05</v>
      </c>
      <c r="J39" s="2">
        <v>37525</v>
      </c>
    </row>
    <row r="40" spans="1:10" x14ac:dyDescent="0.3">
      <c r="A40" s="2" t="s">
        <v>83</v>
      </c>
      <c r="B40" s="5">
        <v>45330</v>
      </c>
      <c r="C40" s="2" t="s">
        <v>12</v>
      </c>
      <c r="D40" s="2" t="s">
        <v>13</v>
      </c>
      <c r="E40" s="2" t="s">
        <v>14</v>
      </c>
      <c r="F40" s="2" t="s">
        <v>43</v>
      </c>
      <c r="G40" s="2">
        <v>1</v>
      </c>
      <c r="H40" s="2">
        <v>59000</v>
      </c>
      <c r="I40" s="2"/>
      <c r="J40" s="2">
        <v>59000</v>
      </c>
    </row>
    <row r="41" spans="1:10" x14ac:dyDescent="0.3">
      <c r="A41" s="2" t="s">
        <v>84</v>
      </c>
      <c r="B41" s="5">
        <v>45331</v>
      </c>
      <c r="C41" s="2" t="s">
        <v>27</v>
      </c>
      <c r="D41" s="2" t="s">
        <v>58</v>
      </c>
      <c r="E41" s="2" t="s">
        <v>24</v>
      </c>
      <c r="F41" s="2" t="s">
        <v>20</v>
      </c>
      <c r="G41" s="2">
        <v>3</v>
      </c>
      <c r="H41" s="2">
        <v>15000</v>
      </c>
      <c r="I41" s="2">
        <v>0.05</v>
      </c>
      <c r="J41" s="2">
        <v>42750</v>
      </c>
    </row>
    <row r="42" spans="1:10" x14ac:dyDescent="0.3">
      <c r="A42" s="2" t="s">
        <v>85</v>
      </c>
      <c r="B42" s="5">
        <v>45332</v>
      </c>
      <c r="C42" s="2" t="s">
        <v>32</v>
      </c>
      <c r="D42" s="2" t="s">
        <v>86</v>
      </c>
      <c r="E42" s="2" t="s">
        <v>34</v>
      </c>
      <c r="F42" s="2" t="s">
        <v>35</v>
      </c>
      <c r="G42" s="2">
        <v>1</v>
      </c>
      <c r="H42" s="2">
        <v>14000</v>
      </c>
      <c r="I42" s="2">
        <v>0.05</v>
      </c>
      <c r="J42" s="2">
        <v>13300</v>
      </c>
    </row>
    <row r="43" spans="1:10" x14ac:dyDescent="0.3">
      <c r="A43" s="2" t="s">
        <v>87</v>
      </c>
      <c r="B43" s="5">
        <v>45333</v>
      </c>
      <c r="C43" s="2" t="s">
        <v>37</v>
      </c>
      <c r="D43" s="2" t="s">
        <v>38</v>
      </c>
      <c r="E43" s="2" t="s">
        <v>39</v>
      </c>
      <c r="F43" s="2" t="s">
        <v>25</v>
      </c>
      <c r="G43" s="2">
        <v>1</v>
      </c>
      <c r="H43" s="2">
        <v>44000</v>
      </c>
      <c r="I43" s="2">
        <v>0.1</v>
      </c>
      <c r="J43" s="2">
        <v>39600</v>
      </c>
    </row>
    <row r="44" spans="1:10" x14ac:dyDescent="0.3">
      <c r="A44" s="2" t="s">
        <v>88</v>
      </c>
      <c r="B44" s="5">
        <v>45334</v>
      </c>
      <c r="C44" s="2" t="s">
        <v>42</v>
      </c>
      <c r="D44" s="2" t="s">
        <v>13</v>
      </c>
      <c r="E44" s="2" t="s">
        <v>14</v>
      </c>
      <c r="F44" s="2" t="s">
        <v>40</v>
      </c>
      <c r="G44" s="2">
        <v>1</v>
      </c>
      <c r="H44" s="2">
        <v>40500</v>
      </c>
      <c r="I44" s="2"/>
      <c r="J44" s="2">
        <v>40500</v>
      </c>
    </row>
    <row r="45" spans="1:10" x14ac:dyDescent="0.3">
      <c r="A45" s="2" t="s">
        <v>89</v>
      </c>
      <c r="B45" s="5">
        <v>45335</v>
      </c>
      <c r="C45" s="2" t="s">
        <v>27</v>
      </c>
      <c r="D45" s="2" t="s">
        <v>90</v>
      </c>
      <c r="E45" s="2" t="s">
        <v>24</v>
      </c>
      <c r="F45" s="2" t="s">
        <v>15</v>
      </c>
      <c r="G45" s="2">
        <v>2</v>
      </c>
      <c r="H45" s="2">
        <v>29500</v>
      </c>
      <c r="I45" s="2">
        <v>0.08</v>
      </c>
      <c r="J45" s="2">
        <v>54280</v>
      </c>
    </row>
    <row r="46" spans="1:10" x14ac:dyDescent="0.3">
      <c r="A46" s="2" t="s">
        <v>91</v>
      </c>
      <c r="B46" s="5">
        <v>45336</v>
      </c>
      <c r="C46" s="2" t="s">
        <v>54</v>
      </c>
      <c r="D46" s="2" t="s">
        <v>55</v>
      </c>
      <c r="E46" s="2" t="s">
        <v>39</v>
      </c>
      <c r="F46" s="2" t="s">
        <v>43</v>
      </c>
      <c r="G46" s="2">
        <v>1</v>
      </c>
      <c r="H46" s="2">
        <v>61500</v>
      </c>
      <c r="I46" s="2">
        <v>0.1</v>
      </c>
      <c r="J46" s="2">
        <v>55350</v>
      </c>
    </row>
    <row r="47" spans="1:10" x14ac:dyDescent="0.3">
      <c r="A47" s="2" t="s">
        <v>92</v>
      </c>
      <c r="B47" s="5">
        <v>45337</v>
      </c>
      <c r="C47" s="2" t="s">
        <v>32</v>
      </c>
      <c r="D47" s="2" t="s">
        <v>93</v>
      </c>
      <c r="E47" s="2" t="s">
        <v>34</v>
      </c>
      <c r="F47" s="2" t="s">
        <v>20</v>
      </c>
      <c r="G47" s="2">
        <v>2</v>
      </c>
      <c r="H47" s="2">
        <v>17500</v>
      </c>
      <c r="I47" s="2">
        <v>0.05</v>
      </c>
      <c r="J47" s="2">
        <v>33250</v>
      </c>
    </row>
    <row r="48" spans="1:10" x14ac:dyDescent="0.3">
      <c r="A48" s="2" t="s">
        <v>94</v>
      </c>
      <c r="B48" s="5">
        <v>45338</v>
      </c>
      <c r="C48" s="2" t="s">
        <v>12</v>
      </c>
      <c r="D48" s="2" t="s">
        <v>50</v>
      </c>
      <c r="E48" s="2" t="s">
        <v>19</v>
      </c>
      <c r="F48" s="2" t="s">
        <v>30</v>
      </c>
      <c r="G48" s="2">
        <v>1</v>
      </c>
      <c r="H48" s="2">
        <v>30500</v>
      </c>
      <c r="I48" s="2"/>
      <c r="J48" s="2">
        <v>30500</v>
      </c>
    </row>
    <row r="49" spans="1:10" x14ac:dyDescent="0.3">
      <c r="A49" s="2" t="s">
        <v>95</v>
      </c>
      <c r="B49" s="5">
        <v>45339</v>
      </c>
      <c r="C49" s="2" t="s">
        <v>22</v>
      </c>
      <c r="D49" s="2" t="s">
        <v>23</v>
      </c>
      <c r="E49" s="2" t="s">
        <v>24</v>
      </c>
      <c r="F49" s="2" t="s">
        <v>25</v>
      </c>
      <c r="G49" s="2">
        <v>1</v>
      </c>
      <c r="H49" s="2">
        <v>47000</v>
      </c>
      <c r="I49" s="2">
        <v>0.08</v>
      </c>
      <c r="J49" s="2">
        <v>43240</v>
      </c>
    </row>
    <row r="50" spans="1:10" x14ac:dyDescent="0.3">
      <c r="A50" s="2" t="s">
        <v>96</v>
      </c>
      <c r="B50" s="5">
        <v>45340</v>
      </c>
      <c r="C50" s="2" t="s">
        <v>54</v>
      </c>
      <c r="D50" s="2" t="s">
        <v>97</v>
      </c>
      <c r="E50" s="2" t="s">
        <v>39</v>
      </c>
      <c r="F50" s="2" t="s">
        <v>40</v>
      </c>
      <c r="G50" s="2">
        <v>1</v>
      </c>
      <c r="H50" s="2">
        <v>41500</v>
      </c>
      <c r="I50" s="2">
        <v>0.05</v>
      </c>
      <c r="J50" s="2">
        <v>39425</v>
      </c>
    </row>
    <row r="51" spans="1:10" x14ac:dyDescent="0.3">
      <c r="A51" s="2" t="s">
        <v>98</v>
      </c>
      <c r="B51" s="5">
        <v>45341</v>
      </c>
      <c r="C51" s="2" t="s">
        <v>32</v>
      </c>
      <c r="D51" s="2" t="s">
        <v>33</v>
      </c>
      <c r="E51" s="2" t="s">
        <v>34</v>
      </c>
      <c r="F51" s="2" t="s">
        <v>43</v>
      </c>
      <c r="G51" s="2">
        <v>2</v>
      </c>
      <c r="H51" s="2">
        <v>55500</v>
      </c>
      <c r="I51" s="2">
        <v>0.12</v>
      </c>
      <c r="J51" s="2">
        <v>97680</v>
      </c>
    </row>
    <row r="52" spans="1:10" x14ac:dyDescent="0.3">
      <c r="A52" s="2" t="s">
        <v>99</v>
      </c>
      <c r="B52" s="5">
        <v>45342</v>
      </c>
      <c r="C52" s="2" t="s">
        <v>12</v>
      </c>
      <c r="D52" s="2" t="s">
        <v>63</v>
      </c>
      <c r="E52" s="2" t="s">
        <v>19</v>
      </c>
      <c r="F52" s="2" t="s">
        <v>15</v>
      </c>
      <c r="G52" s="2">
        <v>1</v>
      </c>
      <c r="H52" s="2">
        <v>35000</v>
      </c>
      <c r="I52" s="2">
        <v>0.1</v>
      </c>
      <c r="J52" s="2">
        <v>31500</v>
      </c>
    </row>
    <row r="53" spans="1:10" x14ac:dyDescent="0.3">
      <c r="A53" s="2" t="s">
        <v>100</v>
      </c>
      <c r="B53" s="5">
        <v>45343</v>
      </c>
      <c r="C53" s="2" t="s">
        <v>101</v>
      </c>
      <c r="D53" s="2" t="s">
        <v>102</v>
      </c>
      <c r="E53" s="2" t="s">
        <v>24</v>
      </c>
      <c r="F53" s="2" t="s">
        <v>20</v>
      </c>
      <c r="G53" s="2">
        <v>3</v>
      </c>
      <c r="H53" s="2">
        <v>14500</v>
      </c>
      <c r="I53" s="2">
        <v>0.05</v>
      </c>
      <c r="J53" s="2">
        <v>41325</v>
      </c>
    </row>
    <row r="54" spans="1:10" x14ac:dyDescent="0.3">
      <c r="A54" s="2" t="s">
        <v>103</v>
      </c>
      <c r="B54" s="5">
        <v>45344</v>
      </c>
      <c r="C54" s="2" t="s">
        <v>54</v>
      </c>
      <c r="D54" s="2" t="s">
        <v>104</v>
      </c>
      <c r="E54" s="2" t="s">
        <v>39</v>
      </c>
      <c r="F54" s="2" t="s">
        <v>35</v>
      </c>
      <c r="G54" s="2">
        <v>1</v>
      </c>
      <c r="H54" s="2">
        <v>13500</v>
      </c>
      <c r="I54" s="2"/>
      <c r="J54" s="2">
        <v>13500</v>
      </c>
    </row>
    <row r="55" spans="1:10" x14ac:dyDescent="0.3">
      <c r="A55" s="2" t="s">
        <v>105</v>
      </c>
      <c r="B55" s="5">
        <v>45345</v>
      </c>
      <c r="C55" s="2" t="s">
        <v>32</v>
      </c>
      <c r="D55" s="2" t="s">
        <v>46</v>
      </c>
      <c r="E55" s="2" t="s">
        <v>34</v>
      </c>
      <c r="F55" s="2" t="s">
        <v>30</v>
      </c>
      <c r="G55" s="2">
        <v>2</v>
      </c>
      <c r="H55" s="2">
        <v>26500</v>
      </c>
      <c r="I55" s="2">
        <v>0.1</v>
      </c>
      <c r="J55" s="2">
        <v>47700</v>
      </c>
    </row>
    <row r="56" spans="1:10" x14ac:dyDescent="0.3">
      <c r="A56" s="2" t="s">
        <v>106</v>
      </c>
      <c r="B56" s="5">
        <v>45346</v>
      </c>
      <c r="C56" s="2" t="s">
        <v>42</v>
      </c>
      <c r="D56" s="2" t="s">
        <v>13</v>
      </c>
      <c r="E56" s="2" t="s">
        <v>14</v>
      </c>
      <c r="F56" s="2" t="s">
        <v>43</v>
      </c>
      <c r="G56" s="2">
        <v>1</v>
      </c>
      <c r="H56" s="2">
        <v>60500</v>
      </c>
      <c r="I56" s="2">
        <v>0.15</v>
      </c>
      <c r="J56" s="2">
        <v>51425</v>
      </c>
    </row>
    <row r="57" spans="1:10" x14ac:dyDescent="0.3">
      <c r="A57" s="2" t="s">
        <v>107</v>
      </c>
      <c r="B57" s="5">
        <v>45347</v>
      </c>
      <c r="C57" s="2" t="s">
        <v>27</v>
      </c>
      <c r="D57" s="2" t="s">
        <v>108</v>
      </c>
      <c r="E57" s="2" t="s">
        <v>24</v>
      </c>
      <c r="F57" s="2" t="s">
        <v>40</v>
      </c>
      <c r="G57" s="2">
        <v>1</v>
      </c>
      <c r="H57" s="2">
        <v>39500</v>
      </c>
      <c r="I57" s="2">
        <v>0.05</v>
      </c>
      <c r="J57" s="2">
        <v>37525</v>
      </c>
    </row>
    <row r="58" spans="1:10" x14ac:dyDescent="0.3">
      <c r="A58" s="2" t="s">
        <v>109</v>
      </c>
      <c r="B58" s="5">
        <v>45348</v>
      </c>
      <c r="C58" s="2" t="s">
        <v>54</v>
      </c>
      <c r="D58" s="2" t="s">
        <v>110</v>
      </c>
      <c r="E58" s="2" t="s">
        <v>39</v>
      </c>
      <c r="F58" s="2" t="s">
        <v>25</v>
      </c>
      <c r="G58" s="2">
        <v>1</v>
      </c>
      <c r="H58" s="2">
        <v>45500</v>
      </c>
      <c r="I58" s="2">
        <v>0.08</v>
      </c>
      <c r="J58" s="2">
        <v>41860</v>
      </c>
    </row>
    <row r="59" spans="1:10" x14ac:dyDescent="0.3">
      <c r="A59" s="2" t="s">
        <v>111</v>
      </c>
      <c r="B59" s="5">
        <v>45349</v>
      </c>
      <c r="C59" s="2" t="s">
        <v>32</v>
      </c>
      <c r="D59" s="2" t="s">
        <v>112</v>
      </c>
      <c r="E59" s="2" t="s">
        <v>34</v>
      </c>
      <c r="F59" s="2" t="s">
        <v>15</v>
      </c>
      <c r="G59" s="2">
        <v>2</v>
      </c>
      <c r="H59" s="2">
        <v>32500</v>
      </c>
      <c r="I59" s="2">
        <v>0.1</v>
      </c>
      <c r="J59" s="2">
        <v>58500</v>
      </c>
    </row>
    <row r="60" spans="1:10" x14ac:dyDescent="0.3">
      <c r="A60" s="2" t="s">
        <v>113</v>
      </c>
      <c r="B60" s="5">
        <v>45350</v>
      </c>
      <c r="C60" s="2" t="s">
        <v>12</v>
      </c>
      <c r="D60" s="2" t="s">
        <v>114</v>
      </c>
      <c r="E60" s="2" t="s">
        <v>19</v>
      </c>
      <c r="F60" s="2" t="s">
        <v>20</v>
      </c>
      <c r="G60" s="2">
        <v>2</v>
      </c>
      <c r="H60" s="2">
        <v>16500</v>
      </c>
      <c r="I60" s="2"/>
      <c r="J60" s="2">
        <v>33000</v>
      </c>
    </row>
    <row r="61" spans="1:10" x14ac:dyDescent="0.3">
      <c r="A61" s="2" t="s">
        <v>115</v>
      </c>
      <c r="B61" s="5">
        <v>45351</v>
      </c>
      <c r="C61" s="2" t="s">
        <v>27</v>
      </c>
      <c r="D61" s="2" t="s">
        <v>116</v>
      </c>
      <c r="E61" s="2" t="s">
        <v>24</v>
      </c>
      <c r="F61" s="2" t="s">
        <v>43</v>
      </c>
      <c r="G61" s="2">
        <v>1</v>
      </c>
      <c r="H61" s="2">
        <v>57500</v>
      </c>
      <c r="I61" s="2">
        <v>0.1</v>
      </c>
      <c r="J61" s="2">
        <v>51750</v>
      </c>
    </row>
    <row r="62" spans="1:10" x14ac:dyDescent="0.3">
      <c r="A62" s="2" t="s">
        <v>117</v>
      </c>
      <c r="B62" s="5">
        <v>45352</v>
      </c>
      <c r="C62" s="2" t="s">
        <v>54</v>
      </c>
      <c r="D62" s="2" t="s">
        <v>38</v>
      </c>
      <c r="E62" s="2" t="s">
        <v>39</v>
      </c>
      <c r="F62" s="2" t="s">
        <v>15</v>
      </c>
      <c r="G62" s="2">
        <v>1</v>
      </c>
      <c r="H62" s="2">
        <v>34500</v>
      </c>
      <c r="I62" s="2">
        <v>0.05</v>
      </c>
      <c r="J62" s="2">
        <v>32775</v>
      </c>
    </row>
    <row r="63" spans="1:10" x14ac:dyDescent="0.3">
      <c r="A63" s="2" t="s">
        <v>118</v>
      </c>
      <c r="B63" s="5">
        <v>45353</v>
      </c>
      <c r="C63" s="2" t="s">
        <v>32</v>
      </c>
      <c r="D63" s="2" t="s">
        <v>119</v>
      </c>
      <c r="E63" s="2" t="s">
        <v>34</v>
      </c>
      <c r="F63" s="2" t="s">
        <v>40</v>
      </c>
      <c r="G63" s="2">
        <v>1</v>
      </c>
      <c r="H63" s="2">
        <v>42500</v>
      </c>
      <c r="I63" s="2">
        <v>0.08</v>
      </c>
      <c r="J63" s="2">
        <v>39100</v>
      </c>
    </row>
    <row r="64" spans="1:10" x14ac:dyDescent="0.3">
      <c r="A64" s="2" t="s">
        <v>120</v>
      </c>
      <c r="B64" s="5">
        <v>45354</v>
      </c>
      <c r="C64" s="2" t="s">
        <v>12</v>
      </c>
      <c r="D64" s="2" t="s">
        <v>13</v>
      </c>
      <c r="E64" s="2" t="s">
        <v>14</v>
      </c>
      <c r="F64" s="2" t="s">
        <v>35</v>
      </c>
      <c r="G64" s="2">
        <v>1</v>
      </c>
      <c r="H64" s="2">
        <v>14500</v>
      </c>
      <c r="I64" s="2"/>
      <c r="J64" s="2">
        <v>14500</v>
      </c>
    </row>
    <row r="65" spans="1:10" x14ac:dyDescent="0.3">
      <c r="A65" s="2" t="s">
        <v>121</v>
      </c>
      <c r="B65" s="5">
        <v>45355</v>
      </c>
      <c r="C65" s="2" t="s">
        <v>27</v>
      </c>
      <c r="D65" s="2" t="s">
        <v>28</v>
      </c>
      <c r="E65" s="2" t="s">
        <v>29</v>
      </c>
      <c r="F65" s="2" t="s">
        <v>43</v>
      </c>
      <c r="G65" s="2">
        <v>2</v>
      </c>
      <c r="H65" s="2">
        <v>58500</v>
      </c>
      <c r="I65" s="2">
        <v>0.1</v>
      </c>
      <c r="J65" s="2">
        <v>105300</v>
      </c>
    </row>
    <row r="66" spans="1:10" x14ac:dyDescent="0.3">
      <c r="A66" s="2" t="s">
        <v>122</v>
      </c>
      <c r="B66" s="5">
        <v>45356</v>
      </c>
      <c r="C66" s="2" t="s">
        <v>37</v>
      </c>
      <c r="D66" s="2" t="s">
        <v>55</v>
      </c>
      <c r="E66" s="2" t="s">
        <v>39</v>
      </c>
      <c r="F66" s="2" t="s">
        <v>20</v>
      </c>
      <c r="G66" s="2">
        <v>3</v>
      </c>
      <c r="H66" s="2">
        <v>15800</v>
      </c>
      <c r="I66" s="2">
        <v>0.05</v>
      </c>
      <c r="J66" s="2">
        <v>45030</v>
      </c>
    </row>
    <row r="67" spans="1:10" x14ac:dyDescent="0.3">
      <c r="A67" s="2" t="s">
        <v>123</v>
      </c>
      <c r="B67" s="5">
        <v>45357</v>
      </c>
      <c r="C67" s="2" t="s">
        <v>32</v>
      </c>
      <c r="D67" s="2" t="s">
        <v>33</v>
      </c>
      <c r="E67" s="2" t="s">
        <v>34</v>
      </c>
      <c r="F67" s="2" t="s">
        <v>25</v>
      </c>
      <c r="G67" s="2">
        <v>1</v>
      </c>
      <c r="H67" s="2">
        <v>47000</v>
      </c>
      <c r="I67" s="2">
        <v>0.1</v>
      </c>
      <c r="J67" s="2">
        <v>42300</v>
      </c>
    </row>
    <row r="68" spans="1:10" x14ac:dyDescent="0.3">
      <c r="A68" s="2" t="s">
        <v>124</v>
      </c>
      <c r="B68" s="5">
        <v>45358</v>
      </c>
      <c r="C68" s="2" t="s">
        <v>12</v>
      </c>
      <c r="D68" s="2" t="s">
        <v>50</v>
      </c>
      <c r="E68" s="2" t="s">
        <v>19</v>
      </c>
      <c r="F68" s="2" t="s">
        <v>40</v>
      </c>
      <c r="G68" s="2">
        <v>1</v>
      </c>
      <c r="H68" s="2">
        <v>41000</v>
      </c>
      <c r="I68" s="2">
        <v>0.05</v>
      </c>
      <c r="J68" s="2">
        <v>38950</v>
      </c>
    </row>
    <row r="69" spans="1:10" x14ac:dyDescent="0.3">
      <c r="A69" s="2" t="s">
        <v>125</v>
      </c>
      <c r="B69" s="5">
        <v>45359</v>
      </c>
      <c r="C69" s="2" t="s">
        <v>27</v>
      </c>
      <c r="D69" s="2" t="s">
        <v>23</v>
      </c>
      <c r="E69" s="2" t="s">
        <v>24</v>
      </c>
      <c r="F69" s="2" t="s">
        <v>30</v>
      </c>
      <c r="G69" s="2">
        <v>2</v>
      </c>
      <c r="H69" s="2">
        <v>28500</v>
      </c>
      <c r="I69" s="2">
        <v>0.08</v>
      </c>
      <c r="J69" s="2">
        <v>52440</v>
      </c>
    </row>
    <row r="70" spans="1:10" x14ac:dyDescent="0.3">
      <c r="A70" s="2" t="s">
        <v>126</v>
      </c>
      <c r="B70" s="5">
        <v>45360</v>
      </c>
      <c r="C70" s="2" t="s">
        <v>60</v>
      </c>
      <c r="D70" s="2" t="s">
        <v>46</v>
      </c>
      <c r="E70" s="2" t="s">
        <v>34</v>
      </c>
      <c r="F70" s="2" t="s">
        <v>43</v>
      </c>
      <c r="G70" s="2">
        <v>1</v>
      </c>
      <c r="H70" s="2">
        <v>56500</v>
      </c>
      <c r="I70" s="2">
        <v>0.12</v>
      </c>
      <c r="J70" s="2">
        <v>49720</v>
      </c>
    </row>
    <row r="71" spans="1:10" x14ac:dyDescent="0.3">
      <c r="A71" s="2" t="s">
        <v>127</v>
      </c>
      <c r="B71" s="5">
        <v>45361</v>
      </c>
      <c r="C71" s="2" t="s">
        <v>54</v>
      </c>
      <c r="D71" s="2" t="s">
        <v>55</v>
      </c>
      <c r="E71" s="2" t="s">
        <v>39</v>
      </c>
      <c r="F71" s="2" t="s">
        <v>15</v>
      </c>
      <c r="G71" s="2">
        <v>2</v>
      </c>
      <c r="H71" s="2">
        <v>33500</v>
      </c>
      <c r="I71" s="2">
        <v>0.1</v>
      </c>
      <c r="J71" s="2">
        <v>60300</v>
      </c>
    </row>
    <row r="72" spans="1:10" x14ac:dyDescent="0.3">
      <c r="A72" s="2" t="s">
        <v>128</v>
      </c>
      <c r="B72" s="5">
        <v>45362</v>
      </c>
      <c r="C72" s="2" t="s">
        <v>12</v>
      </c>
      <c r="D72" s="2" t="s">
        <v>13</v>
      </c>
      <c r="E72" s="2" t="s">
        <v>14</v>
      </c>
      <c r="F72" s="2" t="s">
        <v>25</v>
      </c>
      <c r="G72" s="2">
        <v>1</v>
      </c>
      <c r="H72" s="2">
        <v>45500</v>
      </c>
      <c r="I72" s="2"/>
      <c r="J72" s="2">
        <v>45500</v>
      </c>
    </row>
    <row r="73" spans="1:10" x14ac:dyDescent="0.3">
      <c r="A73" s="2" t="s">
        <v>129</v>
      </c>
      <c r="B73" s="5">
        <v>45363</v>
      </c>
      <c r="C73" s="2" t="s">
        <v>27</v>
      </c>
      <c r="D73" s="2" t="s">
        <v>90</v>
      </c>
      <c r="E73" s="2" t="s">
        <v>24</v>
      </c>
      <c r="F73" s="2" t="s">
        <v>20</v>
      </c>
      <c r="G73" s="2">
        <v>2</v>
      </c>
      <c r="H73" s="2">
        <v>15200</v>
      </c>
      <c r="I73" s="2">
        <v>0.05</v>
      </c>
      <c r="J73" s="2">
        <v>28880</v>
      </c>
    </row>
    <row r="74" spans="1:10" x14ac:dyDescent="0.3">
      <c r="A74" s="2" t="s">
        <v>130</v>
      </c>
      <c r="B74" s="5">
        <v>45364</v>
      </c>
      <c r="C74" s="2" t="s">
        <v>32</v>
      </c>
      <c r="D74" s="2" t="s">
        <v>93</v>
      </c>
      <c r="E74" s="2" t="s">
        <v>34</v>
      </c>
      <c r="F74" s="2" t="s">
        <v>35</v>
      </c>
      <c r="G74" s="2">
        <v>1</v>
      </c>
      <c r="H74" s="2">
        <v>13800</v>
      </c>
      <c r="I74" s="2">
        <v>0.05</v>
      </c>
      <c r="J74" s="2">
        <v>13110</v>
      </c>
    </row>
    <row r="75" spans="1:10" x14ac:dyDescent="0.3">
      <c r="A75" s="2" t="s">
        <v>131</v>
      </c>
      <c r="B75" s="5">
        <v>45365</v>
      </c>
      <c r="C75" s="2" t="s">
        <v>54</v>
      </c>
      <c r="D75" s="2" t="s">
        <v>97</v>
      </c>
      <c r="E75" s="2" t="s">
        <v>39</v>
      </c>
      <c r="F75" s="2" t="s">
        <v>43</v>
      </c>
      <c r="G75" s="2">
        <v>1</v>
      </c>
      <c r="H75" s="2">
        <v>62000</v>
      </c>
      <c r="I75" s="2">
        <v>0.1</v>
      </c>
      <c r="J75" s="2">
        <v>55800</v>
      </c>
    </row>
    <row r="76" spans="1:10" x14ac:dyDescent="0.3">
      <c r="A76" s="2" t="s">
        <v>132</v>
      </c>
      <c r="B76" s="5">
        <v>45366</v>
      </c>
      <c r="C76" s="2" t="s">
        <v>42</v>
      </c>
      <c r="D76" s="2" t="s">
        <v>63</v>
      </c>
      <c r="E76" s="2" t="s">
        <v>19</v>
      </c>
      <c r="F76" s="2" t="s">
        <v>15</v>
      </c>
      <c r="G76" s="2">
        <v>1</v>
      </c>
      <c r="H76" s="2">
        <v>36000</v>
      </c>
      <c r="I76" s="2">
        <v>0.1</v>
      </c>
      <c r="J76" s="2">
        <v>32400</v>
      </c>
    </row>
    <row r="77" spans="1:10" x14ac:dyDescent="0.3">
      <c r="A77" s="2" t="s">
        <v>133</v>
      </c>
      <c r="B77" s="5">
        <v>45367</v>
      </c>
      <c r="C77" s="2" t="s">
        <v>27</v>
      </c>
      <c r="D77" s="2" t="s">
        <v>134</v>
      </c>
      <c r="E77" s="2" t="s">
        <v>24</v>
      </c>
      <c r="F77" s="2" t="s">
        <v>40</v>
      </c>
      <c r="G77" s="2">
        <v>1</v>
      </c>
      <c r="H77" s="2">
        <v>40500</v>
      </c>
      <c r="I77" s="2">
        <v>0.05</v>
      </c>
      <c r="J77" s="2">
        <v>38475</v>
      </c>
    </row>
    <row r="78" spans="1:10" x14ac:dyDescent="0.3">
      <c r="A78" s="2" t="s">
        <v>135</v>
      </c>
      <c r="B78" s="5">
        <v>45368</v>
      </c>
      <c r="C78" s="2" t="s">
        <v>32</v>
      </c>
      <c r="D78" s="2" t="s">
        <v>112</v>
      </c>
      <c r="E78" s="2" t="s">
        <v>34</v>
      </c>
      <c r="F78" s="2" t="s">
        <v>30</v>
      </c>
      <c r="G78" s="2">
        <v>2</v>
      </c>
      <c r="H78" s="2">
        <v>25500</v>
      </c>
      <c r="I78" s="2">
        <v>0.1</v>
      </c>
      <c r="J78" s="2">
        <v>45900</v>
      </c>
    </row>
    <row r="79" spans="1:10" x14ac:dyDescent="0.3">
      <c r="A79" s="2" t="s">
        <v>136</v>
      </c>
      <c r="B79" s="5">
        <v>45369</v>
      </c>
      <c r="C79" s="2" t="s">
        <v>54</v>
      </c>
      <c r="D79" s="2" t="s">
        <v>110</v>
      </c>
      <c r="E79" s="2" t="s">
        <v>39</v>
      </c>
      <c r="F79" s="2" t="s">
        <v>20</v>
      </c>
      <c r="G79" s="2">
        <v>2</v>
      </c>
      <c r="H79" s="2">
        <v>16800</v>
      </c>
      <c r="I79" s="2"/>
      <c r="J79" s="2">
        <v>33600</v>
      </c>
    </row>
    <row r="80" spans="1:10" x14ac:dyDescent="0.3">
      <c r="A80" s="2" t="s">
        <v>137</v>
      </c>
      <c r="B80" s="5">
        <v>45370</v>
      </c>
      <c r="C80" s="2" t="s">
        <v>12</v>
      </c>
      <c r="D80" s="2" t="s">
        <v>13</v>
      </c>
      <c r="E80" s="2" t="s">
        <v>14</v>
      </c>
      <c r="F80" s="2" t="s">
        <v>43</v>
      </c>
      <c r="G80" s="2">
        <v>1</v>
      </c>
      <c r="H80" s="2">
        <v>61000</v>
      </c>
      <c r="I80" s="2">
        <v>0.12</v>
      </c>
      <c r="J80" s="2">
        <v>53680</v>
      </c>
    </row>
    <row r="81" spans="1:10" x14ac:dyDescent="0.3">
      <c r="A81" s="2" t="s">
        <v>138</v>
      </c>
      <c r="B81" s="5">
        <v>45371</v>
      </c>
      <c r="C81" s="2" t="s">
        <v>27</v>
      </c>
      <c r="D81" s="2" t="s">
        <v>116</v>
      </c>
      <c r="E81" s="2" t="s">
        <v>24</v>
      </c>
      <c r="F81" s="2" t="s">
        <v>15</v>
      </c>
      <c r="G81" s="2">
        <v>2</v>
      </c>
      <c r="H81" s="2">
        <v>32500</v>
      </c>
      <c r="I81" s="2">
        <v>0.08</v>
      </c>
      <c r="J81" s="2">
        <v>59800</v>
      </c>
    </row>
    <row r="82" spans="1:10" x14ac:dyDescent="0.3">
      <c r="A82" s="2" t="s">
        <v>139</v>
      </c>
      <c r="B82" s="5">
        <v>45372</v>
      </c>
      <c r="C82" s="2" t="s">
        <v>32</v>
      </c>
      <c r="D82" s="2" t="s">
        <v>140</v>
      </c>
      <c r="E82" s="2" t="s">
        <v>34</v>
      </c>
      <c r="F82" s="2" t="s">
        <v>20</v>
      </c>
      <c r="G82" s="2">
        <v>2</v>
      </c>
      <c r="H82" s="2">
        <v>16200</v>
      </c>
      <c r="I82" s="2">
        <v>0.05</v>
      </c>
      <c r="J82" s="2">
        <v>30780</v>
      </c>
    </row>
    <row r="83" spans="1:10" x14ac:dyDescent="0.3">
      <c r="A83" s="2" t="s">
        <v>141</v>
      </c>
      <c r="B83" s="5">
        <v>45373</v>
      </c>
      <c r="C83" s="2" t="s">
        <v>37</v>
      </c>
      <c r="D83" s="2" t="s">
        <v>38</v>
      </c>
      <c r="E83" s="2" t="s">
        <v>39</v>
      </c>
      <c r="F83" s="2" t="s">
        <v>43</v>
      </c>
      <c r="G83" s="2">
        <v>1</v>
      </c>
      <c r="H83" s="2">
        <v>62500</v>
      </c>
      <c r="I83" s="2">
        <v>0.1</v>
      </c>
      <c r="J83" s="2">
        <v>56250</v>
      </c>
    </row>
    <row r="84" spans="1:10" x14ac:dyDescent="0.3">
      <c r="A84" s="2" t="s">
        <v>142</v>
      </c>
      <c r="B84" s="5">
        <v>45374</v>
      </c>
      <c r="C84" s="2" t="s">
        <v>42</v>
      </c>
      <c r="D84" s="2" t="s">
        <v>13</v>
      </c>
      <c r="E84" s="2" t="s">
        <v>14</v>
      </c>
      <c r="F84" s="2" t="s">
        <v>30</v>
      </c>
      <c r="G84" s="2">
        <v>1</v>
      </c>
      <c r="H84" s="2">
        <v>31500</v>
      </c>
      <c r="I84" s="2"/>
      <c r="J84" s="2">
        <v>31500</v>
      </c>
    </row>
    <row r="85" spans="1:10" x14ac:dyDescent="0.3">
      <c r="A85" s="2" t="s">
        <v>143</v>
      </c>
      <c r="B85" s="5">
        <v>45375</v>
      </c>
      <c r="C85" s="2" t="s">
        <v>27</v>
      </c>
      <c r="D85" s="2" t="s">
        <v>144</v>
      </c>
      <c r="E85" s="2" t="s">
        <v>24</v>
      </c>
      <c r="F85" s="2" t="s">
        <v>25</v>
      </c>
      <c r="G85" s="2">
        <v>1</v>
      </c>
      <c r="H85" s="2">
        <v>48000</v>
      </c>
      <c r="I85" s="2">
        <v>0.08</v>
      </c>
      <c r="J85" s="2">
        <v>44160</v>
      </c>
    </row>
    <row r="86" spans="1:10" x14ac:dyDescent="0.3">
      <c r="A86" s="2" t="s">
        <v>145</v>
      </c>
      <c r="B86" s="5">
        <v>45376</v>
      </c>
      <c r="C86" s="2" t="s">
        <v>54</v>
      </c>
      <c r="D86" s="2" t="s">
        <v>55</v>
      </c>
      <c r="E86" s="2" t="s">
        <v>39</v>
      </c>
      <c r="F86" s="2" t="s">
        <v>15</v>
      </c>
      <c r="G86" s="2">
        <v>2</v>
      </c>
      <c r="H86" s="2">
        <v>34500</v>
      </c>
      <c r="I86" s="2">
        <v>0.1</v>
      </c>
      <c r="J86" s="2">
        <v>62100</v>
      </c>
    </row>
    <row r="87" spans="1:10" x14ac:dyDescent="0.3">
      <c r="A87" s="2" t="s">
        <v>146</v>
      </c>
      <c r="B87" s="5">
        <v>45377</v>
      </c>
      <c r="C87" s="2" t="s">
        <v>32</v>
      </c>
      <c r="D87" s="2" t="s">
        <v>147</v>
      </c>
      <c r="E87" s="2" t="s">
        <v>34</v>
      </c>
      <c r="F87" s="2" t="s">
        <v>40</v>
      </c>
      <c r="G87" s="2">
        <v>1</v>
      </c>
      <c r="H87" s="2">
        <v>43500</v>
      </c>
      <c r="I87" s="2">
        <v>0.05</v>
      </c>
      <c r="J87" s="2">
        <v>41325</v>
      </c>
    </row>
    <row r="88" spans="1:10" x14ac:dyDescent="0.3">
      <c r="A88" s="2" t="s">
        <v>148</v>
      </c>
      <c r="B88" s="5">
        <v>45378</v>
      </c>
      <c r="C88" s="2" t="s">
        <v>12</v>
      </c>
      <c r="D88" s="2" t="s">
        <v>114</v>
      </c>
      <c r="E88" s="2" t="s">
        <v>19</v>
      </c>
      <c r="F88" s="2" t="s">
        <v>35</v>
      </c>
      <c r="G88" s="2">
        <v>1</v>
      </c>
      <c r="H88" s="2">
        <v>15000</v>
      </c>
      <c r="I88" s="2"/>
      <c r="J88" s="2">
        <v>15000</v>
      </c>
    </row>
    <row r="89" spans="1:10" x14ac:dyDescent="0.3">
      <c r="A89" s="2" t="s">
        <v>149</v>
      </c>
      <c r="B89" s="5">
        <v>45379</v>
      </c>
      <c r="C89" s="2" t="s">
        <v>22</v>
      </c>
      <c r="D89" s="2" t="s">
        <v>23</v>
      </c>
      <c r="E89" s="2" t="s">
        <v>24</v>
      </c>
      <c r="F89" s="2" t="s">
        <v>43</v>
      </c>
      <c r="G89" s="2">
        <v>2</v>
      </c>
      <c r="H89" s="2">
        <v>59500</v>
      </c>
      <c r="I89" s="2">
        <v>0.12</v>
      </c>
      <c r="J89" s="2">
        <v>104720</v>
      </c>
    </row>
    <row r="90" spans="1:10" x14ac:dyDescent="0.3">
      <c r="A90" s="2" t="s">
        <v>150</v>
      </c>
      <c r="B90" s="5">
        <v>45380</v>
      </c>
      <c r="C90" s="2" t="s">
        <v>54</v>
      </c>
      <c r="D90" s="2" t="s">
        <v>151</v>
      </c>
      <c r="E90" s="2" t="s">
        <v>39</v>
      </c>
      <c r="F90" s="2" t="s">
        <v>20</v>
      </c>
      <c r="G90" s="2">
        <v>3</v>
      </c>
      <c r="H90" s="2">
        <v>15900</v>
      </c>
      <c r="I90" s="2">
        <v>0.05</v>
      </c>
      <c r="J90" s="2">
        <v>45315</v>
      </c>
    </row>
    <row r="91" spans="1:10" x14ac:dyDescent="0.3">
      <c r="A91" s="2" t="s">
        <v>152</v>
      </c>
      <c r="B91" s="5">
        <v>45381</v>
      </c>
      <c r="C91" s="2" t="s">
        <v>32</v>
      </c>
      <c r="D91" s="2" t="s">
        <v>153</v>
      </c>
      <c r="E91" s="2" t="s">
        <v>34</v>
      </c>
      <c r="F91" s="2" t="s">
        <v>15</v>
      </c>
      <c r="G91" s="2">
        <v>1</v>
      </c>
      <c r="H91" s="2">
        <v>33500</v>
      </c>
      <c r="I91" s="2">
        <v>0.1</v>
      </c>
      <c r="J91" s="2">
        <v>30150</v>
      </c>
    </row>
    <row r="92" spans="1:10" x14ac:dyDescent="0.3">
      <c r="A92" s="2" t="s">
        <v>154</v>
      </c>
      <c r="B92" s="5">
        <v>45382</v>
      </c>
      <c r="C92" s="2" t="s">
        <v>12</v>
      </c>
      <c r="D92" s="2" t="s">
        <v>50</v>
      </c>
      <c r="E92" s="2" t="s">
        <v>19</v>
      </c>
      <c r="F92" s="2" t="s">
        <v>40</v>
      </c>
      <c r="G92" s="2">
        <v>1</v>
      </c>
      <c r="H92" s="2">
        <v>42000</v>
      </c>
      <c r="I92" s="2">
        <v>0.08</v>
      </c>
      <c r="J92" s="2">
        <v>38640</v>
      </c>
    </row>
    <row r="93" spans="1:10" x14ac:dyDescent="0.3">
      <c r="A93" s="2" t="s">
        <v>155</v>
      </c>
      <c r="B93" s="5">
        <v>45383</v>
      </c>
      <c r="C93" s="2" t="s">
        <v>27</v>
      </c>
      <c r="D93" s="2" t="s">
        <v>156</v>
      </c>
      <c r="E93" s="2" t="s">
        <v>24</v>
      </c>
      <c r="F93" s="2" t="s">
        <v>30</v>
      </c>
      <c r="G93" s="2">
        <v>2</v>
      </c>
      <c r="H93" s="2">
        <v>29000</v>
      </c>
      <c r="I93" s="2">
        <v>0.05</v>
      </c>
      <c r="J93" s="2">
        <v>55100</v>
      </c>
    </row>
    <row r="94" spans="1:10" x14ac:dyDescent="0.3">
      <c r="A94" s="2" t="s">
        <v>157</v>
      </c>
      <c r="B94" s="5">
        <v>45384</v>
      </c>
      <c r="C94" s="2" t="s">
        <v>32</v>
      </c>
      <c r="D94" s="2" t="s">
        <v>158</v>
      </c>
      <c r="E94" s="2" t="s">
        <v>34</v>
      </c>
      <c r="F94" s="2" t="s">
        <v>43</v>
      </c>
      <c r="G94" s="2">
        <v>1</v>
      </c>
      <c r="H94" s="2">
        <v>58500</v>
      </c>
      <c r="I94" s="2">
        <v>0.1</v>
      </c>
      <c r="J94" s="2">
        <v>52650</v>
      </c>
    </row>
    <row r="95" spans="1:10" x14ac:dyDescent="0.3">
      <c r="A95" s="2" t="s">
        <v>159</v>
      </c>
      <c r="B95" s="5">
        <v>45385</v>
      </c>
      <c r="C95" s="2" t="s">
        <v>54</v>
      </c>
      <c r="D95" s="2" t="s">
        <v>160</v>
      </c>
      <c r="E95" s="2" t="s">
        <v>39</v>
      </c>
      <c r="F95" s="2" t="s">
        <v>25</v>
      </c>
      <c r="G95" s="2">
        <v>1</v>
      </c>
      <c r="H95" s="2">
        <v>46500</v>
      </c>
      <c r="I95" s="2"/>
      <c r="J95" s="2">
        <v>46500</v>
      </c>
    </row>
    <row r="96" spans="1:10" x14ac:dyDescent="0.3">
      <c r="A96" s="2" t="s">
        <v>161</v>
      </c>
      <c r="B96" s="5">
        <v>45386</v>
      </c>
      <c r="C96" s="2" t="s">
        <v>42</v>
      </c>
      <c r="D96" s="2" t="s">
        <v>13</v>
      </c>
      <c r="E96" s="2" t="s">
        <v>14</v>
      </c>
      <c r="F96" s="2" t="s">
        <v>20</v>
      </c>
      <c r="G96" s="2">
        <v>2</v>
      </c>
      <c r="H96" s="2">
        <v>17200</v>
      </c>
      <c r="I96" s="2">
        <v>0.05</v>
      </c>
      <c r="J96" s="2">
        <v>32680</v>
      </c>
    </row>
    <row r="97" spans="1:10" x14ac:dyDescent="0.3">
      <c r="A97" s="2" t="s">
        <v>162</v>
      </c>
      <c r="B97" s="5">
        <v>45387</v>
      </c>
      <c r="C97" s="2" t="s">
        <v>27</v>
      </c>
      <c r="D97" s="2" t="s">
        <v>163</v>
      </c>
      <c r="E97" s="2" t="s">
        <v>24</v>
      </c>
      <c r="F97" s="2" t="s">
        <v>35</v>
      </c>
      <c r="G97" s="2">
        <v>1</v>
      </c>
      <c r="H97" s="2">
        <v>14200</v>
      </c>
      <c r="I97" s="2">
        <v>0.05</v>
      </c>
      <c r="J97" s="2">
        <v>13490</v>
      </c>
    </row>
    <row r="98" spans="1:10" x14ac:dyDescent="0.3">
      <c r="A98" s="2" t="s">
        <v>164</v>
      </c>
      <c r="B98" s="5">
        <v>45388</v>
      </c>
      <c r="C98" s="2" t="s">
        <v>32</v>
      </c>
      <c r="D98" s="2" t="s">
        <v>165</v>
      </c>
      <c r="E98" s="2" t="s">
        <v>34</v>
      </c>
      <c r="F98" s="2" t="s">
        <v>30</v>
      </c>
      <c r="G98" s="2">
        <v>2</v>
      </c>
      <c r="H98" s="2">
        <v>26000</v>
      </c>
      <c r="I98" s="2">
        <v>0.1</v>
      </c>
      <c r="J98" s="2">
        <v>46800</v>
      </c>
    </row>
    <row r="99" spans="1:10" x14ac:dyDescent="0.3">
      <c r="A99" s="2" t="s">
        <v>166</v>
      </c>
      <c r="B99" s="5">
        <v>45389</v>
      </c>
      <c r="C99" s="2" t="s">
        <v>54</v>
      </c>
      <c r="D99" s="2" t="s">
        <v>167</v>
      </c>
      <c r="E99" s="2" t="s">
        <v>39</v>
      </c>
      <c r="F99" s="2" t="s">
        <v>43</v>
      </c>
      <c r="G99" s="2">
        <v>1</v>
      </c>
      <c r="H99" s="2">
        <v>63500</v>
      </c>
      <c r="I99" s="2">
        <v>0.1</v>
      </c>
      <c r="J99" s="2">
        <v>57150</v>
      </c>
    </row>
    <row r="100" spans="1:10" x14ac:dyDescent="0.3">
      <c r="A100" s="2" t="s">
        <v>168</v>
      </c>
      <c r="B100" s="5">
        <v>45390</v>
      </c>
      <c r="C100" s="2" t="s">
        <v>12</v>
      </c>
      <c r="D100" s="2" t="s">
        <v>169</v>
      </c>
      <c r="E100" s="2" t="s">
        <v>19</v>
      </c>
      <c r="F100" s="2" t="s">
        <v>15</v>
      </c>
      <c r="G100" s="2">
        <v>1</v>
      </c>
      <c r="H100" s="2">
        <v>35500</v>
      </c>
      <c r="I100" s="2">
        <v>0.08</v>
      </c>
      <c r="J100" s="2">
        <v>32660</v>
      </c>
    </row>
    <row r="101" spans="1:10" x14ac:dyDescent="0.3">
      <c r="A101" s="2" t="s">
        <v>170</v>
      </c>
      <c r="B101" s="5">
        <v>45391</v>
      </c>
      <c r="C101" s="2" t="s">
        <v>27</v>
      </c>
      <c r="D101" s="2" t="s">
        <v>171</v>
      </c>
      <c r="E101" s="2" t="s">
        <v>24</v>
      </c>
      <c r="F101" s="2" t="s">
        <v>40</v>
      </c>
      <c r="G101" s="2">
        <v>1</v>
      </c>
      <c r="H101" s="2">
        <v>41500</v>
      </c>
      <c r="I101" s="2">
        <v>0.05</v>
      </c>
      <c r="J101" s="2">
        <v>39425</v>
      </c>
    </row>
    <row r="102" spans="1:10" x14ac:dyDescent="0.3">
      <c r="A102" s="2" t="s">
        <v>172</v>
      </c>
      <c r="B102" s="5">
        <v>45392</v>
      </c>
      <c r="C102" s="2" t="s">
        <v>32</v>
      </c>
      <c r="D102" s="2" t="s">
        <v>173</v>
      </c>
      <c r="E102" s="2" t="s">
        <v>34</v>
      </c>
      <c r="F102" s="2" t="s">
        <v>20</v>
      </c>
      <c r="G102" s="2">
        <v>3</v>
      </c>
      <c r="H102" s="2">
        <v>14800</v>
      </c>
      <c r="I102" s="2"/>
      <c r="J102" s="2">
        <v>44400</v>
      </c>
    </row>
    <row r="103" spans="1:10" x14ac:dyDescent="0.3">
      <c r="A103" s="2" t="s">
        <v>174</v>
      </c>
      <c r="B103" s="5">
        <v>45393</v>
      </c>
      <c r="C103" s="2" t="s">
        <v>37</v>
      </c>
      <c r="D103" s="2" t="s">
        <v>38</v>
      </c>
      <c r="E103" s="2" t="s">
        <v>39</v>
      </c>
      <c r="F103" s="2" t="s">
        <v>30</v>
      </c>
      <c r="G103" s="2">
        <v>1</v>
      </c>
      <c r="H103" s="2">
        <v>32500</v>
      </c>
      <c r="I103" s="2">
        <v>0.1</v>
      </c>
      <c r="J103" s="2">
        <v>29250</v>
      </c>
    </row>
    <row r="104" spans="1:10" x14ac:dyDescent="0.3">
      <c r="A104" s="2" t="s">
        <v>175</v>
      </c>
      <c r="B104" s="5">
        <v>45394</v>
      </c>
      <c r="C104" s="2" t="s">
        <v>12</v>
      </c>
      <c r="D104" s="2" t="s">
        <v>13</v>
      </c>
      <c r="E104" s="2" t="s">
        <v>14</v>
      </c>
      <c r="F104" s="2" t="s">
        <v>43</v>
      </c>
      <c r="G104" s="2">
        <v>1</v>
      </c>
      <c r="H104" s="2">
        <v>62000</v>
      </c>
      <c r="I104" s="2">
        <v>0.12</v>
      </c>
      <c r="J104" s="2">
        <v>54560</v>
      </c>
    </row>
    <row r="105" spans="1:10" x14ac:dyDescent="0.3">
      <c r="A105" s="2" t="s">
        <v>176</v>
      </c>
      <c r="B105" s="5">
        <v>45395</v>
      </c>
      <c r="C105" s="2" t="s">
        <v>27</v>
      </c>
      <c r="D105" s="2" t="s">
        <v>177</v>
      </c>
      <c r="E105" s="2" t="s">
        <v>24</v>
      </c>
      <c r="F105" s="2" t="s">
        <v>15</v>
      </c>
      <c r="G105" s="2">
        <v>2</v>
      </c>
      <c r="H105" s="2">
        <v>33000</v>
      </c>
      <c r="I105" s="2">
        <v>0.1</v>
      </c>
      <c r="J105" s="2">
        <v>59400</v>
      </c>
    </row>
    <row r="106" spans="1:10" x14ac:dyDescent="0.3">
      <c r="A106" s="2" t="s">
        <v>178</v>
      </c>
      <c r="B106" s="5">
        <v>45396</v>
      </c>
      <c r="C106" s="2" t="s">
        <v>32</v>
      </c>
      <c r="D106" s="2" t="s">
        <v>179</v>
      </c>
      <c r="E106" s="2" t="s">
        <v>34</v>
      </c>
      <c r="F106" s="2" t="s">
        <v>25</v>
      </c>
      <c r="G106" s="2">
        <v>1</v>
      </c>
      <c r="H106" s="2">
        <v>47500</v>
      </c>
      <c r="I106" s="2">
        <v>0.08</v>
      </c>
      <c r="J106" s="2">
        <v>43700</v>
      </c>
    </row>
    <row r="107" spans="1:10" x14ac:dyDescent="0.3">
      <c r="A107" s="2" t="s">
        <v>180</v>
      </c>
      <c r="B107" s="5">
        <v>45397</v>
      </c>
      <c r="C107" s="2" t="s">
        <v>54</v>
      </c>
      <c r="D107" s="2" t="s">
        <v>181</v>
      </c>
      <c r="E107" s="2" t="s">
        <v>39</v>
      </c>
      <c r="F107" s="2" t="s">
        <v>40</v>
      </c>
      <c r="G107" s="2">
        <v>1</v>
      </c>
      <c r="H107" s="2">
        <v>43000</v>
      </c>
      <c r="I107" s="2"/>
      <c r="J107" s="2">
        <v>43000</v>
      </c>
    </row>
    <row r="108" spans="1:10" x14ac:dyDescent="0.3">
      <c r="A108" s="2" t="s">
        <v>182</v>
      </c>
      <c r="B108" s="5">
        <v>45398</v>
      </c>
      <c r="C108" s="2" t="s">
        <v>42</v>
      </c>
      <c r="D108" s="2" t="s">
        <v>63</v>
      </c>
      <c r="E108" s="2" t="s">
        <v>19</v>
      </c>
      <c r="F108" s="2" t="s">
        <v>35</v>
      </c>
      <c r="G108" s="2">
        <v>1</v>
      </c>
      <c r="H108" s="2">
        <v>15500</v>
      </c>
      <c r="I108" s="2">
        <v>0.05</v>
      </c>
      <c r="J108" s="2">
        <v>14725</v>
      </c>
    </row>
    <row r="109" spans="1:10" x14ac:dyDescent="0.3">
      <c r="A109" s="2" t="s">
        <v>183</v>
      </c>
      <c r="B109" s="5">
        <v>45399</v>
      </c>
      <c r="C109" s="2" t="s">
        <v>27</v>
      </c>
      <c r="D109" s="2" t="s">
        <v>184</v>
      </c>
      <c r="E109" s="2" t="s">
        <v>24</v>
      </c>
      <c r="F109" s="2" t="s">
        <v>20</v>
      </c>
      <c r="G109" s="2">
        <v>2</v>
      </c>
      <c r="H109" s="2">
        <v>15800</v>
      </c>
      <c r="I109" s="2">
        <v>0.05</v>
      </c>
      <c r="J109" s="2">
        <v>30020</v>
      </c>
    </row>
    <row r="110" spans="1:10" x14ac:dyDescent="0.3">
      <c r="A110" s="2" t="s">
        <v>185</v>
      </c>
      <c r="B110" s="5">
        <v>45400</v>
      </c>
      <c r="C110" s="2" t="s">
        <v>32</v>
      </c>
      <c r="D110" s="2" t="s">
        <v>186</v>
      </c>
      <c r="E110" s="2" t="s">
        <v>34</v>
      </c>
      <c r="F110" s="2" t="s">
        <v>43</v>
      </c>
      <c r="G110" s="2">
        <v>1</v>
      </c>
      <c r="H110" s="2">
        <v>59500</v>
      </c>
      <c r="I110" s="2">
        <v>0.1</v>
      </c>
      <c r="J110" s="2">
        <v>53550</v>
      </c>
    </row>
    <row r="111" spans="1:10" x14ac:dyDescent="0.3">
      <c r="A111" s="2" t="s">
        <v>187</v>
      </c>
      <c r="B111" s="5">
        <v>45401</v>
      </c>
      <c r="C111" s="2" t="s">
        <v>54</v>
      </c>
      <c r="D111" s="2" t="s">
        <v>188</v>
      </c>
      <c r="E111" s="2" t="s">
        <v>39</v>
      </c>
      <c r="F111" s="2" t="s">
        <v>15</v>
      </c>
      <c r="G111" s="2">
        <v>1</v>
      </c>
      <c r="H111" s="2">
        <v>36500</v>
      </c>
      <c r="I111" s="2">
        <v>0.1</v>
      </c>
      <c r="J111" s="2">
        <v>32850</v>
      </c>
    </row>
    <row r="112" spans="1:10" x14ac:dyDescent="0.3">
      <c r="A112" s="2" t="s">
        <v>189</v>
      </c>
      <c r="B112" s="5">
        <v>45402</v>
      </c>
      <c r="C112" s="2" t="s">
        <v>12</v>
      </c>
      <c r="D112" s="2" t="s">
        <v>13</v>
      </c>
      <c r="E112" s="2" t="s">
        <v>14</v>
      </c>
      <c r="F112" s="2" t="s">
        <v>40</v>
      </c>
      <c r="G112" s="2">
        <v>1</v>
      </c>
      <c r="H112" s="2">
        <v>42500</v>
      </c>
      <c r="I112" s="2">
        <v>0.08</v>
      </c>
      <c r="J112" s="2">
        <v>39100</v>
      </c>
    </row>
    <row r="113" spans="1:10" x14ac:dyDescent="0.3">
      <c r="A113" s="2" t="s">
        <v>190</v>
      </c>
      <c r="B113" s="5">
        <v>45403</v>
      </c>
      <c r="C113" s="2" t="s">
        <v>27</v>
      </c>
      <c r="D113" s="2" t="s">
        <v>191</v>
      </c>
      <c r="E113" s="2" t="s">
        <v>24</v>
      </c>
      <c r="F113" s="2" t="s">
        <v>30</v>
      </c>
      <c r="G113" s="2">
        <v>2</v>
      </c>
      <c r="H113" s="2">
        <v>29500</v>
      </c>
      <c r="I113" s="2">
        <v>0.05</v>
      </c>
      <c r="J113" s="2">
        <v>56050</v>
      </c>
    </row>
    <row r="114" spans="1:10" x14ac:dyDescent="0.3">
      <c r="A114" s="2" t="s">
        <v>192</v>
      </c>
      <c r="B114" s="5">
        <v>45404</v>
      </c>
      <c r="C114" s="2" t="s">
        <v>32</v>
      </c>
      <c r="D114" s="2" t="s">
        <v>193</v>
      </c>
      <c r="E114" s="2" t="s">
        <v>34</v>
      </c>
      <c r="F114" s="2" t="s">
        <v>35</v>
      </c>
      <c r="G114" s="2">
        <v>1</v>
      </c>
      <c r="H114" s="2">
        <v>14800</v>
      </c>
      <c r="I114" s="2"/>
      <c r="J114" s="2">
        <v>14800</v>
      </c>
    </row>
    <row r="115" spans="1:10" x14ac:dyDescent="0.3">
      <c r="A115" s="2" t="s">
        <v>194</v>
      </c>
      <c r="B115" s="5">
        <v>45405</v>
      </c>
      <c r="C115" s="2" t="s">
        <v>54</v>
      </c>
      <c r="D115" s="2" t="s">
        <v>195</v>
      </c>
      <c r="E115" s="2" t="s">
        <v>39</v>
      </c>
      <c r="F115" s="2" t="s">
        <v>20</v>
      </c>
      <c r="G115" s="2">
        <v>3</v>
      </c>
      <c r="H115" s="2">
        <v>16200</v>
      </c>
      <c r="I115" s="2">
        <v>0.05</v>
      </c>
      <c r="J115" s="2">
        <v>46170</v>
      </c>
    </row>
    <row r="116" spans="1:10" x14ac:dyDescent="0.3">
      <c r="A116" s="2" t="s">
        <v>196</v>
      </c>
      <c r="B116" s="5">
        <v>45406</v>
      </c>
      <c r="C116" s="2" t="s">
        <v>42</v>
      </c>
      <c r="D116" s="2" t="s">
        <v>50</v>
      </c>
      <c r="E116" s="2" t="s">
        <v>19</v>
      </c>
      <c r="F116" s="2" t="s">
        <v>43</v>
      </c>
      <c r="G116" s="2">
        <v>2</v>
      </c>
      <c r="H116" s="2">
        <v>61000</v>
      </c>
      <c r="I116" s="2">
        <v>0.12</v>
      </c>
      <c r="J116" s="2">
        <v>107360</v>
      </c>
    </row>
    <row r="117" spans="1:10" x14ac:dyDescent="0.3">
      <c r="A117" s="2" t="s">
        <v>197</v>
      </c>
      <c r="B117" s="5">
        <v>45407</v>
      </c>
      <c r="C117" s="2" t="s">
        <v>27</v>
      </c>
      <c r="D117" s="2" t="s">
        <v>198</v>
      </c>
      <c r="E117" s="2" t="s">
        <v>24</v>
      </c>
      <c r="F117" s="2" t="s">
        <v>25</v>
      </c>
      <c r="G117" s="2">
        <v>1</v>
      </c>
      <c r="H117" s="2">
        <v>49000</v>
      </c>
      <c r="I117" s="2">
        <v>0.08</v>
      </c>
      <c r="J117" s="2">
        <v>45080</v>
      </c>
    </row>
    <row r="118" spans="1:10" x14ac:dyDescent="0.3">
      <c r="A118" s="2" t="s">
        <v>199</v>
      </c>
      <c r="B118" s="5">
        <v>45408</v>
      </c>
      <c r="C118" s="2" t="s">
        <v>32</v>
      </c>
      <c r="D118" s="2" t="s">
        <v>200</v>
      </c>
      <c r="E118" s="2" t="s">
        <v>34</v>
      </c>
      <c r="F118" s="2" t="s">
        <v>15</v>
      </c>
      <c r="G118" s="2">
        <v>2</v>
      </c>
      <c r="H118" s="2">
        <v>34000</v>
      </c>
      <c r="I118" s="2">
        <v>0.1</v>
      </c>
      <c r="J118" s="2">
        <v>61200</v>
      </c>
    </row>
    <row r="119" spans="1:10" x14ac:dyDescent="0.3">
      <c r="A119" s="2" t="s">
        <v>201</v>
      </c>
      <c r="B119" s="5">
        <v>45409</v>
      </c>
      <c r="C119" s="2" t="s">
        <v>54</v>
      </c>
      <c r="D119" s="2" t="s">
        <v>202</v>
      </c>
      <c r="E119" s="2" t="s">
        <v>39</v>
      </c>
      <c r="F119" s="2" t="s">
        <v>40</v>
      </c>
      <c r="G119" s="2">
        <v>1</v>
      </c>
      <c r="H119" s="2">
        <v>44000</v>
      </c>
      <c r="I119" s="2">
        <v>0.05</v>
      </c>
      <c r="J119" s="2">
        <v>41800</v>
      </c>
    </row>
    <row r="120" spans="1:10" x14ac:dyDescent="0.3">
      <c r="A120" s="2" t="s">
        <v>203</v>
      </c>
      <c r="B120" s="5">
        <v>45410</v>
      </c>
      <c r="C120" s="2" t="s">
        <v>12</v>
      </c>
      <c r="D120" s="2" t="s">
        <v>13</v>
      </c>
      <c r="E120" s="2" t="s">
        <v>14</v>
      </c>
      <c r="F120" s="2" t="s">
        <v>20</v>
      </c>
      <c r="G120" s="2">
        <v>2</v>
      </c>
      <c r="H120" s="2">
        <v>17500</v>
      </c>
      <c r="I120" s="2"/>
      <c r="J120" s="2">
        <v>35000</v>
      </c>
    </row>
    <row r="121" spans="1:10" x14ac:dyDescent="0.3">
      <c r="A121" s="2" t="s">
        <v>204</v>
      </c>
      <c r="B121" s="5">
        <v>45411</v>
      </c>
      <c r="C121" s="2" t="s">
        <v>27</v>
      </c>
      <c r="D121" s="2" t="s">
        <v>205</v>
      </c>
      <c r="E121" s="2" t="s">
        <v>24</v>
      </c>
      <c r="F121" s="2" t="s">
        <v>43</v>
      </c>
      <c r="G121" s="2">
        <v>1</v>
      </c>
      <c r="H121" s="2">
        <v>60000</v>
      </c>
      <c r="I121" s="2">
        <v>0.1</v>
      </c>
      <c r="J121" s="2">
        <v>54000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1A58-3DB3-4CEA-9B5D-187946E6C117}">
  <dimension ref="A1:B8"/>
  <sheetViews>
    <sheetView workbookViewId="0">
      <selection activeCell="E12" sqref="E12"/>
    </sheetView>
  </sheetViews>
  <sheetFormatPr defaultRowHeight="14.4" x14ac:dyDescent="0.3"/>
  <cols>
    <col min="1" max="1" width="17.109375" customWidth="1"/>
    <col min="2" max="2" width="26.109375" customWidth="1"/>
  </cols>
  <sheetData>
    <row r="1" spans="1:2" x14ac:dyDescent="0.3">
      <c r="A1" s="1" t="s">
        <v>5</v>
      </c>
      <c r="B1" s="1" t="s">
        <v>6</v>
      </c>
    </row>
    <row r="2" spans="1:2" x14ac:dyDescent="0.3">
      <c r="A2" s="2" t="s">
        <v>40</v>
      </c>
      <c r="B2" s="2" t="s">
        <v>207</v>
      </c>
    </row>
    <row r="3" spans="1:2" ht="19.8" customHeight="1" x14ac:dyDescent="0.3">
      <c r="A3" s="2" t="s">
        <v>43</v>
      </c>
      <c r="B3" s="2" t="s">
        <v>16</v>
      </c>
    </row>
    <row r="4" spans="1:2" ht="23.4" customHeight="1" x14ac:dyDescent="0.3">
      <c r="A4" s="2" t="s">
        <v>15</v>
      </c>
      <c r="B4" s="2" t="s">
        <v>16</v>
      </c>
    </row>
    <row r="5" spans="1:2" ht="20.399999999999999" customHeight="1" x14ac:dyDescent="0.3">
      <c r="A5" s="2" t="s">
        <v>35</v>
      </c>
      <c r="B5" s="2" t="s">
        <v>206</v>
      </c>
    </row>
    <row r="6" spans="1:2" ht="24.6" customHeight="1" x14ac:dyDescent="0.3">
      <c r="A6" s="2" t="s">
        <v>20</v>
      </c>
      <c r="B6" s="2" t="s">
        <v>16</v>
      </c>
    </row>
    <row r="7" spans="1:2" ht="22.2" customHeight="1" x14ac:dyDescent="0.3">
      <c r="A7" s="2" t="s">
        <v>25</v>
      </c>
      <c r="B7" s="2" t="s">
        <v>206</v>
      </c>
    </row>
    <row r="8" spans="1:2" ht="23.4" customHeight="1" x14ac:dyDescent="0.3">
      <c r="A8" s="2" t="s">
        <v>30</v>
      </c>
      <c r="B8" s="2" t="s">
        <v>206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C0BE6-CA9E-4EEA-9DD1-6626AB896741}">
  <dimension ref="A1:S121"/>
  <sheetViews>
    <sheetView zoomScale="70" zoomScaleNormal="70" workbookViewId="0">
      <selection activeCell="V24" sqref="V24"/>
    </sheetView>
  </sheetViews>
  <sheetFormatPr defaultRowHeight="14.4" x14ac:dyDescent="0.3"/>
  <cols>
    <col min="1" max="1" width="10.77734375" bestFit="1" customWidth="1"/>
    <col min="2" max="2" width="12.88671875" bestFit="1" customWidth="1"/>
    <col min="3" max="3" width="9" bestFit="1" customWidth="1"/>
    <col min="4" max="4" width="14.21875" bestFit="1" customWidth="1"/>
    <col min="5" max="5" width="13.21875" bestFit="1" customWidth="1"/>
    <col min="6" max="6" width="18.109375" customWidth="1"/>
    <col min="7" max="7" width="19" customWidth="1"/>
    <col min="8" max="8" width="10.5546875" bestFit="1" customWidth="1"/>
    <col min="9" max="9" width="11.88671875" bestFit="1" customWidth="1"/>
    <col min="10" max="10" width="10.5546875" bestFit="1" customWidth="1"/>
    <col min="11" max="11" width="17.109375" bestFit="1" customWidth="1"/>
    <col min="12" max="12" width="17.109375" customWidth="1"/>
    <col min="13" max="13" width="13.44140625" bestFit="1" customWidth="1"/>
    <col min="15" max="15" width="16.109375" customWidth="1"/>
    <col min="16" max="16" width="12.44140625" customWidth="1"/>
    <col min="17" max="17" width="17.44140625" customWidth="1"/>
    <col min="18" max="18" width="16.88671875" customWidth="1"/>
    <col min="19" max="19" width="14.21875" customWidth="1"/>
  </cols>
  <sheetData>
    <row r="1" spans="1:19" ht="22.8" customHeight="1" x14ac:dyDescent="0.3">
      <c r="A1" s="4" t="s">
        <v>0</v>
      </c>
      <c r="B1" s="4" t="s">
        <v>1</v>
      </c>
      <c r="C1" s="4" t="s">
        <v>2</v>
      </c>
      <c r="D1" s="4" t="s">
        <v>3</v>
      </c>
      <c r="E1" s="4" t="s">
        <v>4</v>
      </c>
      <c r="F1" s="4" t="s">
        <v>5</v>
      </c>
      <c r="G1" s="4" t="s">
        <v>6</v>
      </c>
      <c r="H1" s="4" t="s">
        <v>7</v>
      </c>
      <c r="I1" s="4" t="s">
        <v>8</v>
      </c>
      <c r="J1" s="4" t="s">
        <v>9</v>
      </c>
      <c r="K1" s="4" t="s">
        <v>266</v>
      </c>
      <c r="L1" s="4" t="s">
        <v>272</v>
      </c>
      <c r="M1" s="4" t="s">
        <v>208</v>
      </c>
      <c r="N1" s="4" t="s">
        <v>267</v>
      </c>
      <c r="O1" s="4" t="s">
        <v>268</v>
      </c>
      <c r="P1" s="4" t="s">
        <v>269</v>
      </c>
      <c r="Q1" s="4" t="s">
        <v>270</v>
      </c>
      <c r="R1" s="4" t="s">
        <v>271</v>
      </c>
      <c r="S1" s="4" t="s">
        <v>273</v>
      </c>
    </row>
    <row r="2" spans="1:19" x14ac:dyDescent="0.3">
      <c r="A2" t="s">
        <v>11</v>
      </c>
      <c r="B2" s="3">
        <v>45292</v>
      </c>
      <c r="C2" t="s">
        <v>42</v>
      </c>
      <c r="D2" t="s">
        <v>209</v>
      </c>
      <c r="E2" t="s">
        <v>210</v>
      </c>
      <c r="F2" t="s">
        <v>15</v>
      </c>
      <c r="G2" t="s">
        <v>16</v>
      </c>
      <c r="H2">
        <v>2</v>
      </c>
      <c r="I2">
        <v>32000</v>
      </c>
      <c r="J2">
        <v>0.1</v>
      </c>
      <c r="K2">
        <v>57600</v>
      </c>
      <c r="L2">
        <f>Table3_1[[#This Row],[Quantity]]*Table3_1[[#This Row],[Unit_Price]]</f>
        <v>64000</v>
      </c>
      <c r="M2" t="s">
        <v>211</v>
      </c>
      <c r="N2">
        <f>YEAR(Table3_1[[#This Row],[Order_Date]])</f>
        <v>2024</v>
      </c>
      <c r="O2" t="str">
        <f>TEXT(Table3_1[[#This Row],[Order_Date]],"mmm")</f>
        <v>Jan</v>
      </c>
      <c r="P2" t="str">
        <f>TEXT(Table3_1[[#This Row],[Order_Date]],"yyyy-mm")</f>
        <v>2024-01</v>
      </c>
      <c r="Q2">
        <f>1</f>
        <v>1</v>
      </c>
      <c r="R2">
        <f>Table3_1[[#This Row],[Quantity]]*Table3_1[[#This Row],[Unit_Price]]*Table3_1[[#This Row],[Discount]]</f>
        <v>6400</v>
      </c>
      <c r="S2" t="str">
        <f>IF(Table3_1[[#This Row],[Final_sales]]&gt;=50000,"High Value",IF(Table3_1[[#This Row],[Final_sales]]&lt;=25000,"Medium Value","Low Value"))</f>
        <v>High Value</v>
      </c>
    </row>
    <row r="3" spans="1:19" x14ac:dyDescent="0.3">
      <c r="A3" t="s">
        <v>17</v>
      </c>
      <c r="B3" s="3">
        <v>45293</v>
      </c>
      <c r="C3" t="s">
        <v>42</v>
      </c>
      <c r="D3" t="s">
        <v>209</v>
      </c>
      <c r="E3" t="s">
        <v>212</v>
      </c>
      <c r="F3" t="s">
        <v>20</v>
      </c>
      <c r="G3" t="s">
        <v>16</v>
      </c>
      <c r="H3">
        <v>1</v>
      </c>
      <c r="I3">
        <v>18000</v>
      </c>
      <c r="J3">
        <v>0</v>
      </c>
      <c r="K3">
        <v>18000</v>
      </c>
      <c r="L3">
        <f>Table3_1[[#This Row],[Quantity]]*Table3_1[[#This Row],[Unit_Price]]</f>
        <v>18000</v>
      </c>
      <c r="M3" t="s">
        <v>211</v>
      </c>
      <c r="N3">
        <f>YEAR(Table3_1[[#This Row],[Order_Date]])</f>
        <v>2024</v>
      </c>
      <c r="O3" t="str">
        <f>TEXT(Table3_1[[#This Row],[Order_Date]],"mmm")</f>
        <v>Jan</v>
      </c>
      <c r="P3" t="str">
        <f>TEXT(Table3_1[[#This Row],[Order_Date]],"yyyy-mm")</f>
        <v>2024-01</v>
      </c>
      <c r="Q3">
        <f>1</f>
        <v>1</v>
      </c>
      <c r="R3">
        <f>Table3_1[[#This Row],[Quantity]]*Table3_1[[#This Row],[Unit_Price]]*Table3_1[[#This Row],[Discount]]</f>
        <v>0</v>
      </c>
      <c r="S3" t="str">
        <f>IF(Table3_1[[#This Row],[Final_sales]]&gt;=50000,"High Value",IF(Table3_1[[#This Row],[Final_sales]]&lt;=25000,"Medium Value","Low Value"))</f>
        <v>Medium Value</v>
      </c>
    </row>
    <row r="4" spans="1:19" x14ac:dyDescent="0.3">
      <c r="A4" t="s">
        <v>21</v>
      </c>
      <c r="B4" s="3">
        <v>45294</v>
      </c>
      <c r="C4" t="s">
        <v>22</v>
      </c>
      <c r="D4" t="s">
        <v>213</v>
      </c>
      <c r="E4" t="s">
        <v>214</v>
      </c>
      <c r="F4" t="s">
        <v>25</v>
      </c>
      <c r="G4" t="s">
        <v>206</v>
      </c>
      <c r="H4">
        <v>1</v>
      </c>
      <c r="I4">
        <v>45000</v>
      </c>
      <c r="J4">
        <v>0.05</v>
      </c>
      <c r="K4">
        <v>42750</v>
      </c>
      <c r="L4">
        <f>Table3_1[[#This Row],[Quantity]]*Table3_1[[#This Row],[Unit_Price]]</f>
        <v>45000</v>
      </c>
      <c r="M4" t="s">
        <v>211</v>
      </c>
      <c r="N4">
        <f>YEAR(Table3_1[[#This Row],[Order_Date]])</f>
        <v>2024</v>
      </c>
      <c r="O4" t="str">
        <f>TEXT(Table3_1[[#This Row],[Order_Date]],"mmm")</f>
        <v>Jan</v>
      </c>
      <c r="P4" t="str">
        <f>TEXT(Table3_1[[#This Row],[Order_Date]],"yyyy-mm")</f>
        <v>2024-01</v>
      </c>
      <c r="Q4">
        <f>1</f>
        <v>1</v>
      </c>
      <c r="R4">
        <f>Table3_1[[#This Row],[Quantity]]*Table3_1[[#This Row],[Unit_Price]]*Table3_1[[#This Row],[Discount]]</f>
        <v>2250</v>
      </c>
      <c r="S4" t="str">
        <f>IF(Table3_1[[#This Row],[Final_sales]]&gt;=50000,"High Value",IF(Table3_1[[#This Row],[Final_sales]]&lt;=25000,"Medium Value","Low Value"))</f>
        <v>Low Value</v>
      </c>
    </row>
    <row r="5" spans="1:19" x14ac:dyDescent="0.3">
      <c r="A5" t="s">
        <v>26</v>
      </c>
      <c r="B5" s="3">
        <v>45295</v>
      </c>
      <c r="C5" t="s">
        <v>22</v>
      </c>
      <c r="D5" t="s">
        <v>215</v>
      </c>
      <c r="E5" t="s">
        <v>216</v>
      </c>
      <c r="F5" t="s">
        <v>30</v>
      </c>
      <c r="G5" t="s">
        <v>206</v>
      </c>
      <c r="H5">
        <v>2</v>
      </c>
      <c r="I5">
        <v>28000</v>
      </c>
      <c r="J5">
        <v>0.1</v>
      </c>
      <c r="K5">
        <v>50400</v>
      </c>
      <c r="L5">
        <f>Table3_1[[#This Row],[Quantity]]*Table3_1[[#This Row],[Unit_Price]]</f>
        <v>56000</v>
      </c>
      <c r="M5" t="s">
        <v>211</v>
      </c>
      <c r="N5">
        <f>YEAR(Table3_1[[#This Row],[Order_Date]])</f>
        <v>2024</v>
      </c>
      <c r="O5" t="str">
        <f>TEXT(Table3_1[[#This Row],[Order_Date]],"mmm")</f>
        <v>Jan</v>
      </c>
      <c r="P5" t="str">
        <f>TEXT(Table3_1[[#This Row],[Order_Date]],"yyyy-mm")</f>
        <v>2024-01</v>
      </c>
      <c r="Q5">
        <f>1</f>
        <v>1</v>
      </c>
      <c r="R5">
        <f>Table3_1[[#This Row],[Quantity]]*Table3_1[[#This Row],[Unit_Price]]*Table3_1[[#This Row],[Discount]]</f>
        <v>5600</v>
      </c>
      <c r="S5" t="str">
        <f>IF(Table3_1[[#This Row],[Final_sales]]&gt;=50000,"High Value",IF(Table3_1[[#This Row],[Final_sales]]&lt;=25000,"Medium Value","Low Value"))</f>
        <v>High Value</v>
      </c>
    </row>
    <row r="6" spans="1:19" x14ac:dyDescent="0.3">
      <c r="A6" t="s">
        <v>31</v>
      </c>
      <c r="B6" s="3">
        <v>45296</v>
      </c>
      <c r="C6" t="s">
        <v>60</v>
      </c>
      <c r="D6" t="s">
        <v>217</v>
      </c>
      <c r="E6" t="s">
        <v>218</v>
      </c>
      <c r="F6" t="s">
        <v>35</v>
      </c>
      <c r="G6" t="s">
        <v>206</v>
      </c>
      <c r="H6">
        <v>1</v>
      </c>
      <c r="I6">
        <v>12000</v>
      </c>
      <c r="J6">
        <v>0</v>
      </c>
      <c r="K6">
        <v>12000</v>
      </c>
      <c r="L6">
        <f>Table3_1[[#This Row],[Quantity]]*Table3_1[[#This Row],[Unit_Price]]</f>
        <v>12000</v>
      </c>
      <c r="M6" t="s">
        <v>211</v>
      </c>
      <c r="N6">
        <f>YEAR(Table3_1[[#This Row],[Order_Date]])</f>
        <v>2024</v>
      </c>
      <c r="O6" t="str">
        <f>TEXT(Table3_1[[#This Row],[Order_Date]],"mmm")</f>
        <v>Jan</v>
      </c>
      <c r="P6" t="str">
        <f>TEXT(Table3_1[[#This Row],[Order_Date]],"yyyy-mm")</f>
        <v>2024-01</v>
      </c>
      <c r="Q6">
        <f>1</f>
        <v>1</v>
      </c>
      <c r="R6">
        <f>Table3_1[[#This Row],[Quantity]]*Table3_1[[#This Row],[Unit_Price]]*Table3_1[[#This Row],[Discount]]</f>
        <v>0</v>
      </c>
      <c r="S6" t="str">
        <f>IF(Table3_1[[#This Row],[Final_sales]]&gt;=50000,"High Value",IF(Table3_1[[#This Row],[Final_sales]]&lt;=25000,"Medium Value","Low Value"))</f>
        <v>Medium Value</v>
      </c>
    </row>
    <row r="7" spans="1:19" x14ac:dyDescent="0.3">
      <c r="A7" t="s">
        <v>36</v>
      </c>
      <c r="B7" s="3">
        <v>45297</v>
      </c>
      <c r="C7" t="s">
        <v>48</v>
      </c>
      <c r="D7" t="s">
        <v>219</v>
      </c>
      <c r="E7" t="s">
        <v>220</v>
      </c>
      <c r="F7" t="s">
        <v>40</v>
      </c>
      <c r="G7" t="s">
        <v>207</v>
      </c>
      <c r="H7">
        <v>1</v>
      </c>
      <c r="I7">
        <v>38000</v>
      </c>
      <c r="J7">
        <v>0.08</v>
      </c>
      <c r="K7">
        <v>34960</v>
      </c>
      <c r="L7">
        <f>Table3_1[[#This Row],[Quantity]]*Table3_1[[#This Row],[Unit_Price]]</f>
        <v>38000</v>
      </c>
      <c r="M7" t="s">
        <v>211</v>
      </c>
      <c r="N7">
        <f>YEAR(Table3_1[[#This Row],[Order_Date]])</f>
        <v>2024</v>
      </c>
      <c r="O7" t="str">
        <f>TEXT(Table3_1[[#This Row],[Order_Date]],"mmm")</f>
        <v>Jan</v>
      </c>
      <c r="P7" t="str">
        <f>TEXT(Table3_1[[#This Row],[Order_Date]],"yyyy-mm")</f>
        <v>2024-01</v>
      </c>
      <c r="Q7">
        <f>1</f>
        <v>1</v>
      </c>
      <c r="R7">
        <f>Table3_1[[#This Row],[Quantity]]*Table3_1[[#This Row],[Unit_Price]]*Table3_1[[#This Row],[Discount]]</f>
        <v>3040</v>
      </c>
      <c r="S7" t="str">
        <f>IF(Table3_1[[#This Row],[Final_sales]]&gt;=50000,"High Value",IF(Table3_1[[#This Row],[Final_sales]]&lt;=25000,"Medium Value","Low Value"))</f>
        <v>Low Value</v>
      </c>
    </row>
    <row r="8" spans="1:19" x14ac:dyDescent="0.3">
      <c r="A8" t="s">
        <v>41</v>
      </c>
      <c r="B8" s="3">
        <v>45298</v>
      </c>
      <c r="C8" t="s">
        <v>42</v>
      </c>
      <c r="D8" t="s">
        <v>209</v>
      </c>
      <c r="E8" t="s">
        <v>210</v>
      </c>
      <c r="F8" t="s">
        <v>43</v>
      </c>
      <c r="G8" t="s">
        <v>16</v>
      </c>
      <c r="H8">
        <v>1</v>
      </c>
      <c r="I8">
        <v>55000</v>
      </c>
      <c r="J8">
        <v>0.12</v>
      </c>
      <c r="K8">
        <v>48400</v>
      </c>
      <c r="L8">
        <f>Table3_1[[#This Row],[Quantity]]*Table3_1[[#This Row],[Unit_Price]]</f>
        <v>55000</v>
      </c>
      <c r="M8" t="s">
        <v>211</v>
      </c>
      <c r="N8">
        <f>YEAR(Table3_1[[#This Row],[Order_Date]])</f>
        <v>2024</v>
      </c>
      <c r="O8" t="str">
        <f>TEXT(Table3_1[[#This Row],[Order_Date]],"mmm")</f>
        <v>Jan</v>
      </c>
      <c r="P8" t="str">
        <f>TEXT(Table3_1[[#This Row],[Order_Date]],"yyyy-mm")</f>
        <v>2024-01</v>
      </c>
      <c r="Q8">
        <f>1</f>
        <v>1</v>
      </c>
      <c r="R8">
        <f>Table3_1[[#This Row],[Quantity]]*Table3_1[[#This Row],[Unit_Price]]*Table3_1[[#This Row],[Discount]]</f>
        <v>6600</v>
      </c>
      <c r="S8" t="str">
        <f>IF(Table3_1[[#This Row],[Final_sales]]&gt;=50000,"High Value",IF(Table3_1[[#This Row],[Final_sales]]&lt;=25000,"Medium Value","Low Value"))</f>
        <v>Low Value</v>
      </c>
    </row>
    <row r="9" spans="1:19" x14ac:dyDescent="0.3">
      <c r="A9" t="s">
        <v>44</v>
      </c>
      <c r="B9" s="3">
        <v>45299</v>
      </c>
      <c r="C9" t="s">
        <v>22</v>
      </c>
      <c r="D9" t="s">
        <v>213</v>
      </c>
      <c r="E9" t="s">
        <v>214</v>
      </c>
      <c r="F9" t="s">
        <v>20</v>
      </c>
      <c r="G9" t="s">
        <v>16</v>
      </c>
      <c r="H9">
        <v>3</v>
      </c>
      <c r="I9">
        <v>15000</v>
      </c>
      <c r="J9">
        <v>0.05</v>
      </c>
      <c r="K9">
        <v>42750</v>
      </c>
      <c r="L9">
        <f>Table3_1[[#This Row],[Quantity]]*Table3_1[[#This Row],[Unit_Price]]</f>
        <v>45000</v>
      </c>
      <c r="M9" t="s">
        <v>211</v>
      </c>
      <c r="N9">
        <f>YEAR(Table3_1[[#This Row],[Order_Date]])</f>
        <v>2024</v>
      </c>
      <c r="O9" t="str">
        <f>TEXT(Table3_1[[#This Row],[Order_Date]],"mmm")</f>
        <v>Jan</v>
      </c>
      <c r="P9" t="str">
        <f>TEXT(Table3_1[[#This Row],[Order_Date]],"yyyy-mm")</f>
        <v>2024-01</v>
      </c>
      <c r="Q9">
        <f>1</f>
        <v>1</v>
      </c>
      <c r="R9">
        <f>Table3_1[[#This Row],[Quantity]]*Table3_1[[#This Row],[Unit_Price]]*Table3_1[[#This Row],[Discount]]</f>
        <v>2250</v>
      </c>
      <c r="S9" t="str">
        <f>IF(Table3_1[[#This Row],[Final_sales]]&gt;=50000,"High Value",IF(Table3_1[[#This Row],[Final_sales]]&lt;=25000,"Medium Value","Low Value"))</f>
        <v>Low Value</v>
      </c>
    </row>
    <row r="10" spans="1:19" x14ac:dyDescent="0.3">
      <c r="A10" t="s">
        <v>45</v>
      </c>
      <c r="B10" s="3">
        <v>45300</v>
      </c>
      <c r="C10" t="s">
        <v>60</v>
      </c>
      <c r="D10" t="s">
        <v>221</v>
      </c>
      <c r="E10" t="s">
        <v>218</v>
      </c>
      <c r="F10" t="s">
        <v>15</v>
      </c>
      <c r="G10" t="s">
        <v>16</v>
      </c>
      <c r="H10">
        <v>1</v>
      </c>
      <c r="I10">
        <v>30000</v>
      </c>
      <c r="J10">
        <v>0</v>
      </c>
      <c r="K10">
        <v>30000</v>
      </c>
      <c r="L10">
        <f>Table3_1[[#This Row],[Quantity]]*Table3_1[[#This Row],[Unit_Price]]</f>
        <v>30000</v>
      </c>
      <c r="M10" t="s">
        <v>211</v>
      </c>
      <c r="N10">
        <f>YEAR(Table3_1[[#This Row],[Order_Date]])</f>
        <v>2024</v>
      </c>
      <c r="O10" t="str">
        <f>TEXT(Table3_1[[#This Row],[Order_Date]],"mmm")</f>
        <v>Jan</v>
      </c>
      <c r="P10" t="str">
        <f>TEXT(Table3_1[[#This Row],[Order_Date]],"yyyy-mm")</f>
        <v>2024-01</v>
      </c>
      <c r="Q10">
        <f>1</f>
        <v>1</v>
      </c>
      <c r="R10">
        <f>Table3_1[[#This Row],[Quantity]]*Table3_1[[#This Row],[Unit_Price]]*Table3_1[[#This Row],[Discount]]</f>
        <v>0</v>
      </c>
      <c r="S10" t="str">
        <f>IF(Table3_1[[#This Row],[Final_sales]]&gt;=50000,"High Value",IF(Table3_1[[#This Row],[Final_sales]]&lt;=25000,"Medium Value","Low Value"))</f>
        <v>Low Value</v>
      </c>
    </row>
    <row r="11" spans="1:19" x14ac:dyDescent="0.3">
      <c r="A11" t="s">
        <v>47</v>
      </c>
      <c r="B11" s="3">
        <v>45301</v>
      </c>
      <c r="C11" t="s">
        <v>48</v>
      </c>
      <c r="D11" t="s">
        <v>219</v>
      </c>
      <c r="E11" t="s">
        <v>220</v>
      </c>
      <c r="F11" t="s">
        <v>25</v>
      </c>
      <c r="G11" t="s">
        <v>206</v>
      </c>
      <c r="H11">
        <v>1</v>
      </c>
      <c r="I11">
        <v>42000</v>
      </c>
      <c r="J11">
        <v>0.1</v>
      </c>
      <c r="K11">
        <v>37800</v>
      </c>
      <c r="L11">
        <f>Table3_1[[#This Row],[Quantity]]*Table3_1[[#This Row],[Unit_Price]]</f>
        <v>42000</v>
      </c>
      <c r="M11" t="s">
        <v>211</v>
      </c>
      <c r="N11">
        <f>YEAR(Table3_1[[#This Row],[Order_Date]])</f>
        <v>2024</v>
      </c>
      <c r="O11" t="str">
        <f>TEXT(Table3_1[[#This Row],[Order_Date]],"mmm")</f>
        <v>Jan</v>
      </c>
      <c r="P11" t="str">
        <f>TEXT(Table3_1[[#This Row],[Order_Date]],"yyyy-mm")</f>
        <v>2024-01</v>
      </c>
      <c r="Q11">
        <f>1</f>
        <v>1</v>
      </c>
      <c r="R11">
        <f>Table3_1[[#This Row],[Quantity]]*Table3_1[[#This Row],[Unit_Price]]*Table3_1[[#This Row],[Discount]]</f>
        <v>4200</v>
      </c>
      <c r="S11" t="str">
        <f>IF(Table3_1[[#This Row],[Final_sales]]&gt;=50000,"High Value",IF(Table3_1[[#This Row],[Final_sales]]&lt;=25000,"Medium Value","Low Value"))</f>
        <v>Low Value</v>
      </c>
    </row>
    <row r="12" spans="1:19" x14ac:dyDescent="0.3">
      <c r="A12" t="s">
        <v>49</v>
      </c>
      <c r="B12" s="3">
        <v>45302</v>
      </c>
      <c r="C12" t="s">
        <v>42</v>
      </c>
      <c r="D12" t="s">
        <v>222</v>
      </c>
      <c r="E12" t="s">
        <v>212</v>
      </c>
      <c r="F12" t="s">
        <v>43</v>
      </c>
      <c r="G12" t="s">
        <v>16</v>
      </c>
      <c r="H12">
        <v>2</v>
      </c>
      <c r="I12">
        <v>52000</v>
      </c>
      <c r="J12">
        <v>0.15</v>
      </c>
      <c r="K12">
        <v>88400</v>
      </c>
      <c r="L12">
        <f>Table3_1[[#This Row],[Quantity]]*Table3_1[[#This Row],[Unit_Price]]</f>
        <v>104000</v>
      </c>
      <c r="M12" t="s">
        <v>211</v>
      </c>
      <c r="N12">
        <f>YEAR(Table3_1[[#This Row],[Order_Date]])</f>
        <v>2024</v>
      </c>
      <c r="O12" t="str">
        <f>TEXT(Table3_1[[#This Row],[Order_Date]],"mmm")</f>
        <v>Jan</v>
      </c>
      <c r="P12" t="str">
        <f>TEXT(Table3_1[[#This Row],[Order_Date]],"yyyy-mm")</f>
        <v>2024-01</v>
      </c>
      <c r="Q12">
        <f>1</f>
        <v>1</v>
      </c>
      <c r="R12">
        <f>Table3_1[[#This Row],[Quantity]]*Table3_1[[#This Row],[Unit_Price]]*Table3_1[[#This Row],[Discount]]</f>
        <v>15600</v>
      </c>
      <c r="S12" t="str">
        <f>IF(Table3_1[[#This Row],[Final_sales]]&gt;=50000,"High Value",IF(Table3_1[[#This Row],[Final_sales]]&lt;=25000,"Medium Value","Low Value"))</f>
        <v>High Value</v>
      </c>
    </row>
    <row r="13" spans="1:19" x14ac:dyDescent="0.3">
      <c r="A13" t="s">
        <v>51</v>
      </c>
      <c r="B13" s="3">
        <v>45303</v>
      </c>
      <c r="C13" t="s">
        <v>22</v>
      </c>
      <c r="D13" t="s">
        <v>215</v>
      </c>
      <c r="E13" t="s">
        <v>216</v>
      </c>
      <c r="F13" t="s">
        <v>35</v>
      </c>
      <c r="G13" t="s">
        <v>206</v>
      </c>
      <c r="H13">
        <v>2</v>
      </c>
      <c r="I13">
        <v>11000</v>
      </c>
      <c r="J13">
        <v>0.05</v>
      </c>
      <c r="K13">
        <v>20900</v>
      </c>
      <c r="L13">
        <f>Table3_1[[#This Row],[Quantity]]*Table3_1[[#This Row],[Unit_Price]]</f>
        <v>22000</v>
      </c>
      <c r="M13" t="s">
        <v>211</v>
      </c>
      <c r="N13">
        <f>YEAR(Table3_1[[#This Row],[Order_Date]])</f>
        <v>2024</v>
      </c>
      <c r="O13" t="str">
        <f>TEXT(Table3_1[[#This Row],[Order_Date]],"mmm")</f>
        <v>Jan</v>
      </c>
      <c r="P13" t="str">
        <f>TEXT(Table3_1[[#This Row],[Order_Date]],"yyyy-mm")</f>
        <v>2024-01</v>
      </c>
      <c r="Q13">
        <f>1</f>
        <v>1</v>
      </c>
      <c r="R13">
        <f>Table3_1[[#This Row],[Quantity]]*Table3_1[[#This Row],[Unit_Price]]*Table3_1[[#This Row],[Discount]]</f>
        <v>1100</v>
      </c>
      <c r="S13" t="str">
        <f>IF(Table3_1[[#This Row],[Final_sales]]&gt;=50000,"High Value",IF(Table3_1[[#This Row],[Final_sales]]&lt;=25000,"Medium Value","Low Value"))</f>
        <v>Medium Value</v>
      </c>
    </row>
    <row r="14" spans="1:19" x14ac:dyDescent="0.3">
      <c r="A14" t="s">
        <v>52</v>
      </c>
      <c r="B14" s="3">
        <v>45304</v>
      </c>
      <c r="C14" t="s">
        <v>60</v>
      </c>
      <c r="D14" t="s">
        <v>217</v>
      </c>
      <c r="E14" t="s">
        <v>218</v>
      </c>
      <c r="F14" t="s">
        <v>40</v>
      </c>
      <c r="G14" t="s">
        <v>207</v>
      </c>
      <c r="H14">
        <v>1</v>
      </c>
      <c r="I14">
        <v>40000</v>
      </c>
      <c r="J14">
        <v>0.1</v>
      </c>
      <c r="K14">
        <v>36000</v>
      </c>
      <c r="L14">
        <f>Table3_1[[#This Row],[Quantity]]*Table3_1[[#This Row],[Unit_Price]]</f>
        <v>40000</v>
      </c>
      <c r="M14" t="s">
        <v>211</v>
      </c>
      <c r="N14">
        <f>YEAR(Table3_1[[#This Row],[Order_Date]])</f>
        <v>2024</v>
      </c>
      <c r="O14" t="str">
        <f>TEXT(Table3_1[[#This Row],[Order_Date]],"mmm")</f>
        <v>Jan</v>
      </c>
      <c r="P14" t="str">
        <f>TEXT(Table3_1[[#This Row],[Order_Date]],"yyyy-mm")</f>
        <v>2024-01</v>
      </c>
      <c r="Q14">
        <f>1</f>
        <v>1</v>
      </c>
      <c r="R14">
        <f>Table3_1[[#This Row],[Quantity]]*Table3_1[[#This Row],[Unit_Price]]*Table3_1[[#This Row],[Discount]]</f>
        <v>4000</v>
      </c>
      <c r="S14" t="str">
        <f>IF(Table3_1[[#This Row],[Final_sales]]&gt;=50000,"High Value",IF(Table3_1[[#This Row],[Final_sales]]&lt;=25000,"Medium Value","Low Value"))</f>
        <v>Low Value</v>
      </c>
    </row>
    <row r="15" spans="1:19" x14ac:dyDescent="0.3">
      <c r="A15" t="s">
        <v>53</v>
      </c>
      <c r="B15" s="3">
        <v>45305</v>
      </c>
      <c r="C15" t="s">
        <v>48</v>
      </c>
      <c r="D15" t="s">
        <v>223</v>
      </c>
      <c r="E15" t="s">
        <v>220</v>
      </c>
      <c r="F15" t="s">
        <v>30</v>
      </c>
      <c r="G15" t="s">
        <v>206</v>
      </c>
      <c r="H15">
        <v>1</v>
      </c>
      <c r="I15">
        <v>26000</v>
      </c>
      <c r="J15">
        <v>0</v>
      </c>
      <c r="K15">
        <v>26000</v>
      </c>
      <c r="L15">
        <f>Table3_1[[#This Row],[Quantity]]*Table3_1[[#This Row],[Unit_Price]]</f>
        <v>26000</v>
      </c>
      <c r="M15" t="s">
        <v>211</v>
      </c>
      <c r="N15">
        <f>YEAR(Table3_1[[#This Row],[Order_Date]])</f>
        <v>2024</v>
      </c>
      <c r="O15" t="str">
        <f>TEXT(Table3_1[[#This Row],[Order_Date]],"mmm")</f>
        <v>Jan</v>
      </c>
      <c r="P15" t="str">
        <f>TEXT(Table3_1[[#This Row],[Order_Date]],"yyyy-mm")</f>
        <v>2024-01</v>
      </c>
      <c r="Q15">
        <f>1</f>
        <v>1</v>
      </c>
      <c r="R15">
        <f>Table3_1[[#This Row],[Quantity]]*Table3_1[[#This Row],[Unit_Price]]*Table3_1[[#This Row],[Discount]]</f>
        <v>0</v>
      </c>
      <c r="S15" t="str">
        <f>IF(Table3_1[[#This Row],[Final_sales]]&gt;=50000,"High Value",IF(Table3_1[[#This Row],[Final_sales]]&lt;=25000,"Medium Value","Low Value"))</f>
        <v>Low Value</v>
      </c>
    </row>
    <row r="16" spans="1:19" x14ac:dyDescent="0.3">
      <c r="A16" t="s">
        <v>56</v>
      </c>
      <c r="B16" s="3">
        <v>45306</v>
      </c>
      <c r="C16" t="s">
        <v>42</v>
      </c>
      <c r="D16" t="s">
        <v>209</v>
      </c>
      <c r="E16" t="s">
        <v>210</v>
      </c>
      <c r="F16" t="s">
        <v>20</v>
      </c>
      <c r="G16" t="s">
        <v>16</v>
      </c>
      <c r="H16">
        <v>2</v>
      </c>
      <c r="I16">
        <v>17000</v>
      </c>
      <c r="J16">
        <v>0.05</v>
      </c>
      <c r="K16">
        <v>32300</v>
      </c>
      <c r="L16">
        <f>Table3_1[[#This Row],[Quantity]]*Table3_1[[#This Row],[Unit_Price]]</f>
        <v>34000</v>
      </c>
      <c r="M16" t="s">
        <v>211</v>
      </c>
      <c r="N16">
        <f>YEAR(Table3_1[[#This Row],[Order_Date]])</f>
        <v>2024</v>
      </c>
      <c r="O16" t="str">
        <f>TEXT(Table3_1[[#This Row],[Order_Date]],"mmm")</f>
        <v>Jan</v>
      </c>
      <c r="P16" t="str">
        <f>TEXT(Table3_1[[#This Row],[Order_Date]],"yyyy-mm")</f>
        <v>2024-01</v>
      </c>
      <c r="Q16">
        <f>1</f>
        <v>1</v>
      </c>
      <c r="R16">
        <f>Table3_1[[#This Row],[Quantity]]*Table3_1[[#This Row],[Unit_Price]]*Table3_1[[#This Row],[Discount]]</f>
        <v>1700</v>
      </c>
      <c r="S16" t="str">
        <f>IF(Table3_1[[#This Row],[Final_sales]]&gt;=50000,"High Value",IF(Table3_1[[#This Row],[Final_sales]]&lt;=25000,"Medium Value","Low Value"))</f>
        <v>Low Value</v>
      </c>
    </row>
    <row r="17" spans="1:19" x14ac:dyDescent="0.3">
      <c r="A17" t="s">
        <v>57</v>
      </c>
      <c r="B17" s="3">
        <v>45307</v>
      </c>
      <c r="C17" t="s">
        <v>22</v>
      </c>
      <c r="D17" t="s">
        <v>224</v>
      </c>
      <c r="E17" t="s">
        <v>214</v>
      </c>
      <c r="F17" t="s">
        <v>43</v>
      </c>
      <c r="G17" t="s">
        <v>16</v>
      </c>
      <c r="H17">
        <v>1</v>
      </c>
      <c r="I17">
        <v>58000</v>
      </c>
      <c r="J17">
        <v>0.1</v>
      </c>
      <c r="K17">
        <v>52200</v>
      </c>
      <c r="L17">
        <f>Table3_1[[#This Row],[Quantity]]*Table3_1[[#This Row],[Unit_Price]]</f>
        <v>58000</v>
      </c>
      <c r="M17" t="s">
        <v>211</v>
      </c>
      <c r="N17">
        <f>YEAR(Table3_1[[#This Row],[Order_Date]])</f>
        <v>2024</v>
      </c>
      <c r="O17" t="str">
        <f>TEXT(Table3_1[[#This Row],[Order_Date]],"mmm")</f>
        <v>Jan</v>
      </c>
      <c r="P17" t="str">
        <f>TEXT(Table3_1[[#This Row],[Order_Date]],"yyyy-mm")</f>
        <v>2024-01</v>
      </c>
      <c r="Q17">
        <f>1</f>
        <v>1</v>
      </c>
      <c r="R17">
        <f>Table3_1[[#This Row],[Quantity]]*Table3_1[[#This Row],[Unit_Price]]*Table3_1[[#This Row],[Discount]]</f>
        <v>5800</v>
      </c>
      <c r="S17" t="str">
        <f>IF(Table3_1[[#This Row],[Final_sales]]&gt;=50000,"High Value",IF(Table3_1[[#This Row],[Final_sales]]&lt;=25000,"Medium Value","Low Value"))</f>
        <v>High Value</v>
      </c>
    </row>
    <row r="18" spans="1:19" x14ac:dyDescent="0.3">
      <c r="A18" t="s">
        <v>59</v>
      </c>
      <c r="B18" s="3">
        <v>45308</v>
      </c>
      <c r="C18" t="s">
        <v>60</v>
      </c>
      <c r="D18" t="s">
        <v>221</v>
      </c>
      <c r="E18" t="s">
        <v>218</v>
      </c>
      <c r="F18" t="s">
        <v>25</v>
      </c>
      <c r="G18" t="s">
        <v>206</v>
      </c>
      <c r="H18">
        <v>1</v>
      </c>
      <c r="I18">
        <v>41000</v>
      </c>
      <c r="J18">
        <v>7.0000000000000007E-2</v>
      </c>
      <c r="K18">
        <v>38130</v>
      </c>
      <c r="L18">
        <f>Table3_1[[#This Row],[Quantity]]*Table3_1[[#This Row],[Unit_Price]]</f>
        <v>41000</v>
      </c>
      <c r="M18" t="s">
        <v>211</v>
      </c>
      <c r="N18">
        <f>YEAR(Table3_1[[#This Row],[Order_Date]])</f>
        <v>2024</v>
      </c>
      <c r="O18" t="str">
        <f>TEXT(Table3_1[[#This Row],[Order_Date]],"mmm")</f>
        <v>Jan</v>
      </c>
      <c r="P18" t="str">
        <f>TEXT(Table3_1[[#This Row],[Order_Date]],"yyyy-mm")</f>
        <v>2024-01</v>
      </c>
      <c r="Q18">
        <f>1</f>
        <v>1</v>
      </c>
      <c r="R18">
        <f>Table3_1[[#This Row],[Quantity]]*Table3_1[[#This Row],[Unit_Price]]*Table3_1[[#This Row],[Discount]]</f>
        <v>2870.0000000000005</v>
      </c>
      <c r="S18" t="str">
        <f>IF(Table3_1[[#This Row],[Final_sales]]&gt;=50000,"High Value",IF(Table3_1[[#This Row],[Final_sales]]&lt;=25000,"Medium Value","Low Value"))</f>
        <v>Low Value</v>
      </c>
    </row>
    <row r="19" spans="1:19" x14ac:dyDescent="0.3">
      <c r="A19" t="s">
        <v>61</v>
      </c>
      <c r="B19" s="3">
        <v>45309</v>
      </c>
      <c r="C19" t="s">
        <v>48</v>
      </c>
      <c r="D19" t="s">
        <v>219</v>
      </c>
      <c r="E19" t="s">
        <v>220</v>
      </c>
      <c r="F19" t="s">
        <v>15</v>
      </c>
      <c r="G19" t="s">
        <v>16</v>
      </c>
      <c r="H19">
        <v>2</v>
      </c>
      <c r="I19">
        <v>31000</v>
      </c>
      <c r="J19">
        <v>0.1</v>
      </c>
      <c r="K19">
        <v>55800</v>
      </c>
      <c r="L19">
        <f>Table3_1[[#This Row],[Quantity]]*Table3_1[[#This Row],[Unit_Price]]</f>
        <v>62000</v>
      </c>
      <c r="M19" t="s">
        <v>211</v>
      </c>
      <c r="N19">
        <f>YEAR(Table3_1[[#This Row],[Order_Date]])</f>
        <v>2024</v>
      </c>
      <c r="O19" t="str">
        <f>TEXT(Table3_1[[#This Row],[Order_Date]],"mmm")</f>
        <v>Jan</v>
      </c>
      <c r="P19" t="str">
        <f>TEXT(Table3_1[[#This Row],[Order_Date]],"yyyy-mm")</f>
        <v>2024-01</v>
      </c>
      <c r="Q19">
        <f>1</f>
        <v>1</v>
      </c>
      <c r="R19">
        <f>Table3_1[[#This Row],[Quantity]]*Table3_1[[#This Row],[Unit_Price]]*Table3_1[[#This Row],[Discount]]</f>
        <v>6200</v>
      </c>
      <c r="S19" t="str">
        <f>IF(Table3_1[[#This Row],[Final_sales]]&gt;=50000,"High Value",IF(Table3_1[[#This Row],[Final_sales]]&lt;=25000,"Medium Value","Low Value"))</f>
        <v>High Value</v>
      </c>
    </row>
    <row r="20" spans="1:19" x14ac:dyDescent="0.3">
      <c r="A20" t="s">
        <v>62</v>
      </c>
      <c r="B20" s="3">
        <v>45310</v>
      </c>
      <c r="C20" t="s">
        <v>42</v>
      </c>
      <c r="D20" t="s">
        <v>225</v>
      </c>
      <c r="E20" t="s">
        <v>212</v>
      </c>
      <c r="F20" t="s">
        <v>40</v>
      </c>
      <c r="G20" t="s">
        <v>207</v>
      </c>
      <c r="H20">
        <v>1</v>
      </c>
      <c r="I20">
        <v>39000</v>
      </c>
      <c r="J20">
        <v>0</v>
      </c>
      <c r="K20">
        <v>39000</v>
      </c>
      <c r="L20">
        <f>Table3_1[[#This Row],[Quantity]]*Table3_1[[#This Row],[Unit_Price]]</f>
        <v>39000</v>
      </c>
      <c r="M20" t="s">
        <v>211</v>
      </c>
      <c r="N20">
        <f>YEAR(Table3_1[[#This Row],[Order_Date]])</f>
        <v>2024</v>
      </c>
      <c r="O20" t="str">
        <f>TEXT(Table3_1[[#This Row],[Order_Date]],"mmm")</f>
        <v>Jan</v>
      </c>
      <c r="P20" t="str">
        <f>TEXT(Table3_1[[#This Row],[Order_Date]],"yyyy-mm")</f>
        <v>2024-01</v>
      </c>
      <c r="Q20">
        <f>1</f>
        <v>1</v>
      </c>
      <c r="R20">
        <f>Table3_1[[#This Row],[Quantity]]*Table3_1[[#This Row],[Unit_Price]]*Table3_1[[#This Row],[Discount]]</f>
        <v>0</v>
      </c>
      <c r="S20" t="str">
        <f>IF(Table3_1[[#This Row],[Final_sales]]&gt;=50000,"High Value",IF(Table3_1[[#This Row],[Final_sales]]&lt;=25000,"Medium Value","Low Value"))</f>
        <v>Low Value</v>
      </c>
    </row>
    <row r="21" spans="1:19" x14ac:dyDescent="0.3">
      <c r="A21" t="s">
        <v>64</v>
      </c>
      <c r="B21" s="3">
        <v>45311</v>
      </c>
      <c r="C21" t="s">
        <v>22</v>
      </c>
      <c r="D21" t="s">
        <v>213</v>
      </c>
      <c r="E21" t="s">
        <v>214</v>
      </c>
      <c r="F21" t="s">
        <v>30</v>
      </c>
      <c r="G21" t="s">
        <v>206</v>
      </c>
      <c r="H21">
        <v>1</v>
      </c>
      <c r="I21">
        <v>27000</v>
      </c>
      <c r="J21">
        <v>0.05</v>
      </c>
      <c r="K21">
        <v>25650</v>
      </c>
      <c r="L21">
        <f>Table3_1[[#This Row],[Quantity]]*Table3_1[[#This Row],[Unit_Price]]</f>
        <v>27000</v>
      </c>
      <c r="M21" t="s">
        <v>211</v>
      </c>
      <c r="N21">
        <f>YEAR(Table3_1[[#This Row],[Order_Date]])</f>
        <v>2024</v>
      </c>
      <c r="O21" t="str">
        <f>TEXT(Table3_1[[#This Row],[Order_Date]],"mmm")</f>
        <v>Jan</v>
      </c>
      <c r="P21" t="str">
        <f>TEXT(Table3_1[[#This Row],[Order_Date]],"yyyy-mm")</f>
        <v>2024-01</v>
      </c>
      <c r="Q21">
        <f>1</f>
        <v>1</v>
      </c>
      <c r="R21">
        <f>Table3_1[[#This Row],[Quantity]]*Table3_1[[#This Row],[Unit_Price]]*Table3_1[[#This Row],[Discount]]</f>
        <v>1350</v>
      </c>
      <c r="S21" t="str">
        <f>IF(Table3_1[[#This Row],[Final_sales]]&gt;=50000,"High Value",IF(Table3_1[[#This Row],[Final_sales]]&lt;=25000,"Medium Value","Low Value"))</f>
        <v>Low Value</v>
      </c>
    </row>
    <row r="22" spans="1:19" x14ac:dyDescent="0.3">
      <c r="A22" t="s">
        <v>65</v>
      </c>
      <c r="B22" s="3">
        <v>45312</v>
      </c>
      <c r="C22" t="s">
        <v>60</v>
      </c>
      <c r="D22" t="s">
        <v>217</v>
      </c>
      <c r="E22" t="s">
        <v>218</v>
      </c>
      <c r="F22" t="s">
        <v>43</v>
      </c>
      <c r="G22" t="s">
        <v>16</v>
      </c>
      <c r="H22">
        <v>1</v>
      </c>
      <c r="I22">
        <v>54000</v>
      </c>
      <c r="J22">
        <v>0.1</v>
      </c>
      <c r="K22">
        <v>48600</v>
      </c>
      <c r="L22">
        <f>Table3_1[[#This Row],[Quantity]]*Table3_1[[#This Row],[Unit_Price]]</f>
        <v>54000</v>
      </c>
      <c r="M22" t="s">
        <v>211</v>
      </c>
      <c r="N22">
        <f>YEAR(Table3_1[[#This Row],[Order_Date]])</f>
        <v>2024</v>
      </c>
      <c r="O22" t="str">
        <f>TEXT(Table3_1[[#This Row],[Order_Date]],"mmm")</f>
        <v>Jan</v>
      </c>
      <c r="P22" t="str">
        <f>TEXT(Table3_1[[#This Row],[Order_Date]],"yyyy-mm")</f>
        <v>2024-01</v>
      </c>
      <c r="Q22">
        <f>1</f>
        <v>1</v>
      </c>
      <c r="R22">
        <f>Table3_1[[#This Row],[Quantity]]*Table3_1[[#This Row],[Unit_Price]]*Table3_1[[#This Row],[Discount]]</f>
        <v>5400</v>
      </c>
      <c r="S22" t="str">
        <f>IF(Table3_1[[#This Row],[Final_sales]]&gt;=50000,"High Value",IF(Table3_1[[#This Row],[Final_sales]]&lt;=25000,"Medium Value","Low Value"))</f>
        <v>Low Value</v>
      </c>
    </row>
    <row r="23" spans="1:19" x14ac:dyDescent="0.3">
      <c r="A23" t="s">
        <v>66</v>
      </c>
      <c r="B23" s="3">
        <v>45313</v>
      </c>
      <c r="C23" t="s">
        <v>48</v>
      </c>
      <c r="D23" t="s">
        <v>223</v>
      </c>
      <c r="E23" t="s">
        <v>220</v>
      </c>
      <c r="F23" t="s">
        <v>20</v>
      </c>
      <c r="G23" t="s">
        <v>16</v>
      </c>
      <c r="H23">
        <v>3</v>
      </c>
      <c r="I23">
        <v>16000</v>
      </c>
      <c r="J23">
        <v>0.08</v>
      </c>
      <c r="K23">
        <v>44160</v>
      </c>
      <c r="L23">
        <f>Table3_1[[#This Row],[Quantity]]*Table3_1[[#This Row],[Unit_Price]]</f>
        <v>48000</v>
      </c>
      <c r="M23" t="s">
        <v>211</v>
      </c>
      <c r="N23">
        <f>YEAR(Table3_1[[#This Row],[Order_Date]])</f>
        <v>2024</v>
      </c>
      <c r="O23" t="str">
        <f>TEXT(Table3_1[[#This Row],[Order_Date]],"mmm")</f>
        <v>Jan</v>
      </c>
      <c r="P23" t="str">
        <f>TEXT(Table3_1[[#This Row],[Order_Date]],"yyyy-mm")</f>
        <v>2024-01</v>
      </c>
      <c r="Q23">
        <f>1</f>
        <v>1</v>
      </c>
      <c r="R23">
        <f>Table3_1[[#This Row],[Quantity]]*Table3_1[[#This Row],[Unit_Price]]*Table3_1[[#This Row],[Discount]]</f>
        <v>3840</v>
      </c>
      <c r="S23" t="str">
        <f>IF(Table3_1[[#This Row],[Final_sales]]&gt;=50000,"High Value",IF(Table3_1[[#This Row],[Final_sales]]&lt;=25000,"Medium Value","Low Value"))</f>
        <v>Low Value</v>
      </c>
    </row>
    <row r="24" spans="1:19" x14ac:dyDescent="0.3">
      <c r="A24" t="s">
        <v>67</v>
      </c>
      <c r="B24" s="3">
        <v>45314</v>
      </c>
      <c r="C24" t="s">
        <v>42</v>
      </c>
      <c r="D24" t="s">
        <v>209</v>
      </c>
      <c r="E24" t="s">
        <v>210</v>
      </c>
      <c r="F24" t="s">
        <v>35</v>
      </c>
      <c r="G24" t="s">
        <v>206</v>
      </c>
      <c r="H24">
        <v>1</v>
      </c>
      <c r="I24">
        <v>13000</v>
      </c>
      <c r="J24">
        <v>0</v>
      </c>
      <c r="K24">
        <v>13000</v>
      </c>
      <c r="L24">
        <f>Table3_1[[#This Row],[Quantity]]*Table3_1[[#This Row],[Unit_Price]]</f>
        <v>13000</v>
      </c>
      <c r="M24" t="s">
        <v>211</v>
      </c>
      <c r="N24">
        <f>YEAR(Table3_1[[#This Row],[Order_Date]])</f>
        <v>2024</v>
      </c>
      <c r="O24" t="str">
        <f>TEXT(Table3_1[[#This Row],[Order_Date]],"mmm")</f>
        <v>Jan</v>
      </c>
      <c r="P24" t="str">
        <f>TEXT(Table3_1[[#This Row],[Order_Date]],"yyyy-mm")</f>
        <v>2024-01</v>
      </c>
      <c r="Q24">
        <f>1</f>
        <v>1</v>
      </c>
      <c r="R24">
        <f>Table3_1[[#This Row],[Quantity]]*Table3_1[[#This Row],[Unit_Price]]*Table3_1[[#This Row],[Discount]]</f>
        <v>0</v>
      </c>
      <c r="S24" t="str">
        <f>IF(Table3_1[[#This Row],[Final_sales]]&gt;=50000,"High Value",IF(Table3_1[[#This Row],[Final_sales]]&lt;=25000,"Medium Value","Low Value"))</f>
        <v>Medium Value</v>
      </c>
    </row>
    <row r="25" spans="1:19" x14ac:dyDescent="0.3">
      <c r="A25" t="s">
        <v>68</v>
      </c>
      <c r="B25" s="3">
        <v>45315</v>
      </c>
      <c r="C25" t="s">
        <v>22</v>
      </c>
      <c r="D25" t="s">
        <v>215</v>
      </c>
      <c r="E25" t="s">
        <v>216</v>
      </c>
      <c r="F25" t="s">
        <v>15</v>
      </c>
      <c r="G25" t="s">
        <v>16</v>
      </c>
      <c r="H25">
        <v>1</v>
      </c>
      <c r="I25">
        <v>33000</v>
      </c>
      <c r="J25">
        <v>0.05</v>
      </c>
      <c r="K25">
        <v>31350</v>
      </c>
      <c r="L25">
        <f>Table3_1[[#This Row],[Quantity]]*Table3_1[[#This Row],[Unit_Price]]</f>
        <v>33000</v>
      </c>
      <c r="M25" t="s">
        <v>211</v>
      </c>
      <c r="N25">
        <f>YEAR(Table3_1[[#This Row],[Order_Date]])</f>
        <v>2024</v>
      </c>
      <c r="O25" t="str">
        <f>TEXT(Table3_1[[#This Row],[Order_Date]],"mmm")</f>
        <v>Jan</v>
      </c>
      <c r="P25" t="str">
        <f>TEXT(Table3_1[[#This Row],[Order_Date]],"yyyy-mm")</f>
        <v>2024-01</v>
      </c>
      <c r="Q25">
        <f>1</f>
        <v>1</v>
      </c>
      <c r="R25">
        <f>Table3_1[[#This Row],[Quantity]]*Table3_1[[#This Row],[Unit_Price]]*Table3_1[[#This Row],[Discount]]</f>
        <v>1650</v>
      </c>
      <c r="S25" t="str">
        <f>IF(Table3_1[[#This Row],[Final_sales]]&gt;=50000,"High Value",IF(Table3_1[[#This Row],[Final_sales]]&lt;=25000,"Medium Value","Low Value"))</f>
        <v>Low Value</v>
      </c>
    </row>
    <row r="26" spans="1:19" x14ac:dyDescent="0.3">
      <c r="A26" t="s">
        <v>69</v>
      </c>
      <c r="B26" s="3">
        <v>45316</v>
      </c>
      <c r="C26" t="s">
        <v>60</v>
      </c>
      <c r="D26" t="s">
        <v>221</v>
      </c>
      <c r="E26" t="s">
        <v>218</v>
      </c>
      <c r="F26" t="s">
        <v>20</v>
      </c>
      <c r="G26" t="s">
        <v>16</v>
      </c>
      <c r="H26">
        <v>2</v>
      </c>
      <c r="I26">
        <v>15500</v>
      </c>
      <c r="J26">
        <v>0.05</v>
      </c>
      <c r="K26">
        <v>29450</v>
      </c>
      <c r="L26">
        <f>Table3_1[[#This Row],[Quantity]]*Table3_1[[#This Row],[Unit_Price]]</f>
        <v>31000</v>
      </c>
      <c r="M26" t="s">
        <v>211</v>
      </c>
      <c r="N26">
        <f>YEAR(Table3_1[[#This Row],[Order_Date]])</f>
        <v>2024</v>
      </c>
      <c r="O26" t="str">
        <f>TEXT(Table3_1[[#This Row],[Order_Date]],"mmm")</f>
        <v>Jan</v>
      </c>
      <c r="P26" t="str">
        <f>TEXT(Table3_1[[#This Row],[Order_Date]],"yyyy-mm")</f>
        <v>2024-01</v>
      </c>
      <c r="Q26">
        <f>1</f>
        <v>1</v>
      </c>
      <c r="R26">
        <f>Table3_1[[#This Row],[Quantity]]*Table3_1[[#This Row],[Unit_Price]]*Table3_1[[#This Row],[Discount]]</f>
        <v>1550</v>
      </c>
      <c r="S26" t="str">
        <f>IF(Table3_1[[#This Row],[Final_sales]]&gt;=50000,"High Value",IF(Table3_1[[#This Row],[Final_sales]]&lt;=25000,"Medium Value","Low Value"))</f>
        <v>Low Value</v>
      </c>
    </row>
    <row r="27" spans="1:19" x14ac:dyDescent="0.3">
      <c r="A27" t="s">
        <v>70</v>
      </c>
      <c r="B27" s="3">
        <v>45317</v>
      </c>
      <c r="C27" t="s">
        <v>48</v>
      </c>
      <c r="D27" t="s">
        <v>219</v>
      </c>
      <c r="E27" t="s">
        <v>220</v>
      </c>
      <c r="F27" t="s">
        <v>43</v>
      </c>
      <c r="G27" t="s">
        <v>16</v>
      </c>
      <c r="H27">
        <v>1</v>
      </c>
      <c r="I27">
        <v>60000</v>
      </c>
      <c r="J27">
        <v>0.1</v>
      </c>
      <c r="K27">
        <v>54000</v>
      </c>
      <c r="L27">
        <f>Table3_1[[#This Row],[Quantity]]*Table3_1[[#This Row],[Unit_Price]]</f>
        <v>60000</v>
      </c>
      <c r="M27" t="s">
        <v>211</v>
      </c>
      <c r="N27">
        <f>YEAR(Table3_1[[#This Row],[Order_Date]])</f>
        <v>2024</v>
      </c>
      <c r="O27" t="str">
        <f>TEXT(Table3_1[[#This Row],[Order_Date]],"mmm")</f>
        <v>Jan</v>
      </c>
      <c r="P27" t="str">
        <f>TEXT(Table3_1[[#This Row],[Order_Date]],"yyyy-mm")</f>
        <v>2024-01</v>
      </c>
      <c r="Q27">
        <f>1</f>
        <v>1</v>
      </c>
      <c r="R27">
        <f>Table3_1[[#This Row],[Quantity]]*Table3_1[[#This Row],[Unit_Price]]*Table3_1[[#This Row],[Discount]]</f>
        <v>6000</v>
      </c>
      <c r="S27" t="str">
        <f>IF(Table3_1[[#This Row],[Final_sales]]&gt;=50000,"High Value",IF(Table3_1[[#This Row],[Final_sales]]&lt;=25000,"Medium Value","Low Value"))</f>
        <v>High Value</v>
      </c>
    </row>
    <row r="28" spans="1:19" x14ac:dyDescent="0.3">
      <c r="A28" t="s">
        <v>71</v>
      </c>
      <c r="B28" s="3">
        <v>45318</v>
      </c>
      <c r="C28" t="s">
        <v>42</v>
      </c>
      <c r="D28" t="s">
        <v>222</v>
      </c>
      <c r="E28" t="s">
        <v>212</v>
      </c>
      <c r="F28" t="s">
        <v>25</v>
      </c>
      <c r="G28" t="s">
        <v>206</v>
      </c>
      <c r="H28">
        <v>1</v>
      </c>
      <c r="I28">
        <v>43000</v>
      </c>
      <c r="J28">
        <v>0.08</v>
      </c>
      <c r="K28">
        <v>39560</v>
      </c>
      <c r="L28">
        <f>Table3_1[[#This Row],[Quantity]]*Table3_1[[#This Row],[Unit_Price]]</f>
        <v>43000</v>
      </c>
      <c r="M28" t="s">
        <v>211</v>
      </c>
      <c r="N28">
        <f>YEAR(Table3_1[[#This Row],[Order_Date]])</f>
        <v>2024</v>
      </c>
      <c r="O28" t="str">
        <f>TEXT(Table3_1[[#This Row],[Order_Date]],"mmm")</f>
        <v>Jan</v>
      </c>
      <c r="P28" t="str">
        <f>TEXT(Table3_1[[#This Row],[Order_Date]],"yyyy-mm")</f>
        <v>2024-01</v>
      </c>
      <c r="Q28">
        <f>1</f>
        <v>1</v>
      </c>
      <c r="R28">
        <f>Table3_1[[#This Row],[Quantity]]*Table3_1[[#This Row],[Unit_Price]]*Table3_1[[#This Row],[Discount]]</f>
        <v>3440</v>
      </c>
      <c r="S28" t="str">
        <f>IF(Table3_1[[#This Row],[Final_sales]]&gt;=50000,"High Value",IF(Table3_1[[#This Row],[Final_sales]]&lt;=25000,"Medium Value","Low Value"))</f>
        <v>Low Value</v>
      </c>
    </row>
    <row r="29" spans="1:19" x14ac:dyDescent="0.3">
      <c r="A29" t="s">
        <v>72</v>
      </c>
      <c r="B29" s="3">
        <v>45319</v>
      </c>
      <c r="C29" t="s">
        <v>22</v>
      </c>
      <c r="D29" t="s">
        <v>224</v>
      </c>
      <c r="E29" t="s">
        <v>214</v>
      </c>
      <c r="F29" t="s">
        <v>40</v>
      </c>
      <c r="G29" t="s">
        <v>207</v>
      </c>
      <c r="H29">
        <v>1</v>
      </c>
      <c r="I29">
        <v>41000</v>
      </c>
      <c r="J29">
        <v>0</v>
      </c>
      <c r="K29">
        <v>41000</v>
      </c>
      <c r="L29">
        <f>Table3_1[[#This Row],[Quantity]]*Table3_1[[#This Row],[Unit_Price]]</f>
        <v>41000</v>
      </c>
      <c r="M29" t="s">
        <v>211</v>
      </c>
      <c r="N29">
        <f>YEAR(Table3_1[[#This Row],[Order_Date]])</f>
        <v>2024</v>
      </c>
      <c r="O29" t="str">
        <f>TEXT(Table3_1[[#This Row],[Order_Date]],"mmm")</f>
        <v>Jan</v>
      </c>
      <c r="P29" t="str">
        <f>TEXT(Table3_1[[#This Row],[Order_Date]],"yyyy-mm")</f>
        <v>2024-01</v>
      </c>
      <c r="Q29">
        <f>1</f>
        <v>1</v>
      </c>
      <c r="R29">
        <f>Table3_1[[#This Row],[Quantity]]*Table3_1[[#This Row],[Unit_Price]]*Table3_1[[#This Row],[Discount]]</f>
        <v>0</v>
      </c>
      <c r="S29" t="str">
        <f>IF(Table3_1[[#This Row],[Final_sales]]&gt;=50000,"High Value",IF(Table3_1[[#This Row],[Final_sales]]&lt;=25000,"Medium Value","Low Value"))</f>
        <v>Low Value</v>
      </c>
    </row>
    <row r="30" spans="1:19" x14ac:dyDescent="0.3">
      <c r="A30" t="s">
        <v>73</v>
      </c>
      <c r="B30" s="3">
        <v>45320</v>
      </c>
      <c r="C30" t="s">
        <v>60</v>
      </c>
      <c r="D30" t="s">
        <v>217</v>
      </c>
      <c r="E30" t="s">
        <v>218</v>
      </c>
      <c r="F30" t="s">
        <v>30</v>
      </c>
      <c r="G30" t="s">
        <v>206</v>
      </c>
      <c r="H30">
        <v>2</v>
      </c>
      <c r="I30">
        <v>25000</v>
      </c>
      <c r="J30">
        <v>0.1</v>
      </c>
      <c r="K30">
        <v>45000</v>
      </c>
      <c r="L30">
        <f>Table3_1[[#This Row],[Quantity]]*Table3_1[[#This Row],[Unit_Price]]</f>
        <v>50000</v>
      </c>
      <c r="M30" t="s">
        <v>211</v>
      </c>
      <c r="N30">
        <f>YEAR(Table3_1[[#This Row],[Order_Date]])</f>
        <v>2024</v>
      </c>
      <c r="O30" t="str">
        <f>TEXT(Table3_1[[#This Row],[Order_Date]],"mmm")</f>
        <v>Jan</v>
      </c>
      <c r="P30" t="str">
        <f>TEXT(Table3_1[[#This Row],[Order_Date]],"yyyy-mm")</f>
        <v>2024-01</v>
      </c>
      <c r="Q30">
        <f>1</f>
        <v>1</v>
      </c>
      <c r="R30">
        <f>Table3_1[[#This Row],[Quantity]]*Table3_1[[#This Row],[Unit_Price]]*Table3_1[[#This Row],[Discount]]</f>
        <v>5000</v>
      </c>
      <c r="S30" t="str">
        <f>IF(Table3_1[[#This Row],[Final_sales]]&gt;=50000,"High Value",IF(Table3_1[[#This Row],[Final_sales]]&lt;=25000,"Medium Value","Low Value"))</f>
        <v>Low Value</v>
      </c>
    </row>
    <row r="31" spans="1:19" x14ac:dyDescent="0.3">
      <c r="A31" t="s">
        <v>74</v>
      </c>
      <c r="B31" s="3">
        <v>45321</v>
      </c>
      <c r="C31" t="s">
        <v>48</v>
      </c>
      <c r="D31" t="s">
        <v>223</v>
      </c>
      <c r="E31" t="s">
        <v>220</v>
      </c>
      <c r="F31" t="s">
        <v>35</v>
      </c>
      <c r="G31" t="s">
        <v>206</v>
      </c>
      <c r="H31">
        <v>1</v>
      </c>
      <c r="I31">
        <v>12500</v>
      </c>
      <c r="J31">
        <v>0.05</v>
      </c>
      <c r="K31">
        <v>11875</v>
      </c>
      <c r="L31">
        <f>Table3_1[[#This Row],[Quantity]]*Table3_1[[#This Row],[Unit_Price]]</f>
        <v>12500</v>
      </c>
      <c r="M31" t="s">
        <v>211</v>
      </c>
      <c r="N31">
        <f>YEAR(Table3_1[[#This Row],[Order_Date]])</f>
        <v>2024</v>
      </c>
      <c r="O31" t="str">
        <f>TEXT(Table3_1[[#This Row],[Order_Date]],"mmm")</f>
        <v>Jan</v>
      </c>
      <c r="P31" t="str">
        <f>TEXT(Table3_1[[#This Row],[Order_Date]],"yyyy-mm")</f>
        <v>2024-01</v>
      </c>
      <c r="Q31">
        <f>1</f>
        <v>1</v>
      </c>
      <c r="R31">
        <f>Table3_1[[#This Row],[Quantity]]*Table3_1[[#This Row],[Unit_Price]]*Table3_1[[#This Row],[Discount]]</f>
        <v>625</v>
      </c>
      <c r="S31" t="str">
        <f>IF(Table3_1[[#This Row],[Final_sales]]&gt;=50000,"High Value",IF(Table3_1[[#This Row],[Final_sales]]&lt;=25000,"Medium Value","Low Value"))</f>
        <v>Medium Value</v>
      </c>
    </row>
    <row r="32" spans="1:19" x14ac:dyDescent="0.3">
      <c r="A32" t="s">
        <v>75</v>
      </c>
      <c r="B32" s="3">
        <v>45322</v>
      </c>
      <c r="C32" t="s">
        <v>42</v>
      </c>
      <c r="D32" t="s">
        <v>209</v>
      </c>
      <c r="E32" t="s">
        <v>210</v>
      </c>
      <c r="F32" t="s">
        <v>15</v>
      </c>
      <c r="G32" t="s">
        <v>16</v>
      </c>
      <c r="H32">
        <v>1</v>
      </c>
      <c r="I32">
        <v>34000</v>
      </c>
      <c r="J32">
        <v>0.1</v>
      </c>
      <c r="K32">
        <v>30600</v>
      </c>
      <c r="L32">
        <f>Table3_1[[#This Row],[Quantity]]*Table3_1[[#This Row],[Unit_Price]]</f>
        <v>34000</v>
      </c>
      <c r="M32" t="s">
        <v>211</v>
      </c>
      <c r="N32">
        <f>YEAR(Table3_1[[#This Row],[Order_Date]])</f>
        <v>2024</v>
      </c>
      <c r="O32" t="str">
        <f>TEXT(Table3_1[[#This Row],[Order_Date]],"mmm")</f>
        <v>Jan</v>
      </c>
      <c r="P32" t="str">
        <f>TEXT(Table3_1[[#This Row],[Order_Date]],"yyyy-mm")</f>
        <v>2024-01</v>
      </c>
      <c r="Q32">
        <f>1</f>
        <v>1</v>
      </c>
      <c r="R32">
        <f>Table3_1[[#This Row],[Quantity]]*Table3_1[[#This Row],[Unit_Price]]*Table3_1[[#This Row],[Discount]]</f>
        <v>3400</v>
      </c>
      <c r="S32" t="str">
        <f>IF(Table3_1[[#This Row],[Final_sales]]&gt;=50000,"High Value",IF(Table3_1[[#This Row],[Final_sales]]&lt;=25000,"Medium Value","Low Value"))</f>
        <v>Low Value</v>
      </c>
    </row>
    <row r="33" spans="1:19" x14ac:dyDescent="0.3">
      <c r="A33" t="s">
        <v>76</v>
      </c>
      <c r="B33" s="3">
        <v>45323</v>
      </c>
      <c r="C33" t="s">
        <v>22</v>
      </c>
      <c r="D33" t="s">
        <v>213</v>
      </c>
      <c r="E33" t="s">
        <v>214</v>
      </c>
      <c r="F33" t="s">
        <v>43</v>
      </c>
      <c r="G33" t="s">
        <v>16</v>
      </c>
      <c r="H33">
        <v>2</v>
      </c>
      <c r="I33">
        <v>56000</v>
      </c>
      <c r="J33">
        <v>0.12</v>
      </c>
      <c r="K33">
        <v>98560</v>
      </c>
      <c r="L33">
        <f>Table3_1[[#This Row],[Quantity]]*Table3_1[[#This Row],[Unit_Price]]</f>
        <v>112000</v>
      </c>
      <c r="M33" t="s">
        <v>211</v>
      </c>
      <c r="N33">
        <f>YEAR(Table3_1[[#This Row],[Order_Date]])</f>
        <v>2024</v>
      </c>
      <c r="O33" t="str">
        <f>TEXT(Table3_1[[#This Row],[Order_Date]],"mmm")</f>
        <v>Feb</v>
      </c>
      <c r="P33" t="str">
        <f>TEXT(Table3_1[[#This Row],[Order_Date]],"yyyy-mm")</f>
        <v>2024-02</v>
      </c>
      <c r="Q33">
        <f>1</f>
        <v>1</v>
      </c>
      <c r="R33">
        <f>Table3_1[[#This Row],[Quantity]]*Table3_1[[#This Row],[Unit_Price]]*Table3_1[[#This Row],[Discount]]</f>
        <v>13440</v>
      </c>
      <c r="S33" t="str">
        <f>IF(Table3_1[[#This Row],[Final_sales]]&gt;=50000,"High Value",IF(Table3_1[[#This Row],[Final_sales]]&lt;=25000,"Medium Value","Low Value"))</f>
        <v>High Value</v>
      </c>
    </row>
    <row r="34" spans="1:19" x14ac:dyDescent="0.3">
      <c r="A34" t="s">
        <v>77</v>
      </c>
      <c r="B34" s="3">
        <v>45324</v>
      </c>
      <c r="C34" t="s">
        <v>60</v>
      </c>
      <c r="D34" t="s">
        <v>221</v>
      </c>
      <c r="E34" t="s">
        <v>218</v>
      </c>
      <c r="F34" t="s">
        <v>40</v>
      </c>
      <c r="G34" t="s">
        <v>207</v>
      </c>
      <c r="H34">
        <v>1</v>
      </c>
      <c r="I34">
        <v>42000</v>
      </c>
      <c r="J34">
        <v>0.05</v>
      </c>
      <c r="K34">
        <v>39900</v>
      </c>
      <c r="L34">
        <f>Table3_1[[#This Row],[Quantity]]*Table3_1[[#This Row],[Unit_Price]]</f>
        <v>42000</v>
      </c>
      <c r="M34" t="s">
        <v>211</v>
      </c>
      <c r="N34">
        <f>YEAR(Table3_1[[#This Row],[Order_Date]])</f>
        <v>2024</v>
      </c>
      <c r="O34" t="str">
        <f>TEXT(Table3_1[[#This Row],[Order_Date]],"mmm")</f>
        <v>Feb</v>
      </c>
      <c r="P34" t="str">
        <f>TEXT(Table3_1[[#This Row],[Order_Date]],"yyyy-mm")</f>
        <v>2024-02</v>
      </c>
      <c r="Q34">
        <f>1</f>
        <v>1</v>
      </c>
      <c r="R34">
        <f>Table3_1[[#This Row],[Quantity]]*Table3_1[[#This Row],[Unit_Price]]*Table3_1[[#This Row],[Discount]]</f>
        <v>2100</v>
      </c>
      <c r="S34" t="str">
        <f>IF(Table3_1[[#This Row],[Final_sales]]&gt;=50000,"High Value",IF(Table3_1[[#This Row],[Final_sales]]&lt;=25000,"Medium Value","Low Value"))</f>
        <v>Low Value</v>
      </c>
    </row>
    <row r="35" spans="1:19" x14ac:dyDescent="0.3">
      <c r="A35" t="s">
        <v>78</v>
      </c>
      <c r="B35" s="3">
        <v>45325</v>
      </c>
      <c r="C35" t="s">
        <v>48</v>
      </c>
      <c r="D35" t="s">
        <v>219</v>
      </c>
      <c r="E35" t="s">
        <v>220</v>
      </c>
      <c r="F35" t="s">
        <v>20</v>
      </c>
      <c r="G35" t="s">
        <v>16</v>
      </c>
      <c r="H35">
        <v>2</v>
      </c>
      <c r="I35">
        <v>16500</v>
      </c>
      <c r="J35">
        <v>0</v>
      </c>
      <c r="K35">
        <v>33000</v>
      </c>
      <c r="L35">
        <f>Table3_1[[#This Row],[Quantity]]*Table3_1[[#This Row],[Unit_Price]]</f>
        <v>33000</v>
      </c>
      <c r="M35" t="s">
        <v>211</v>
      </c>
      <c r="N35">
        <f>YEAR(Table3_1[[#This Row],[Order_Date]])</f>
        <v>2024</v>
      </c>
      <c r="O35" t="str">
        <f>TEXT(Table3_1[[#This Row],[Order_Date]],"mmm")</f>
        <v>Feb</v>
      </c>
      <c r="P35" t="str">
        <f>TEXT(Table3_1[[#This Row],[Order_Date]],"yyyy-mm")</f>
        <v>2024-02</v>
      </c>
      <c r="Q35">
        <f>1</f>
        <v>1</v>
      </c>
      <c r="R35">
        <f>Table3_1[[#This Row],[Quantity]]*Table3_1[[#This Row],[Unit_Price]]*Table3_1[[#This Row],[Discount]]</f>
        <v>0</v>
      </c>
      <c r="S35" t="str">
        <f>IF(Table3_1[[#This Row],[Final_sales]]&gt;=50000,"High Value",IF(Table3_1[[#This Row],[Final_sales]]&lt;=25000,"Medium Value","Low Value"))</f>
        <v>Low Value</v>
      </c>
    </row>
    <row r="36" spans="1:19" x14ac:dyDescent="0.3">
      <c r="A36" t="s">
        <v>79</v>
      </c>
      <c r="B36" s="3">
        <v>45326</v>
      </c>
      <c r="C36" t="s">
        <v>42</v>
      </c>
      <c r="D36" t="s">
        <v>225</v>
      </c>
      <c r="E36" t="s">
        <v>212</v>
      </c>
      <c r="F36" t="s">
        <v>30</v>
      </c>
      <c r="G36" t="s">
        <v>206</v>
      </c>
      <c r="H36">
        <v>1</v>
      </c>
      <c r="I36">
        <v>29000</v>
      </c>
      <c r="J36">
        <v>0.1</v>
      </c>
      <c r="K36">
        <v>26100</v>
      </c>
      <c r="L36">
        <f>Table3_1[[#This Row],[Quantity]]*Table3_1[[#This Row],[Unit_Price]]</f>
        <v>29000</v>
      </c>
      <c r="M36" t="s">
        <v>211</v>
      </c>
      <c r="N36">
        <f>YEAR(Table3_1[[#This Row],[Order_Date]])</f>
        <v>2024</v>
      </c>
      <c r="O36" t="str">
        <f>TEXT(Table3_1[[#This Row],[Order_Date]],"mmm")</f>
        <v>Feb</v>
      </c>
      <c r="P36" t="str">
        <f>TEXT(Table3_1[[#This Row],[Order_Date]],"yyyy-mm")</f>
        <v>2024-02</v>
      </c>
      <c r="Q36">
        <f>1</f>
        <v>1</v>
      </c>
      <c r="R36">
        <f>Table3_1[[#This Row],[Quantity]]*Table3_1[[#This Row],[Unit_Price]]*Table3_1[[#This Row],[Discount]]</f>
        <v>2900</v>
      </c>
      <c r="S36" t="str">
        <f>IF(Table3_1[[#This Row],[Final_sales]]&gt;=50000,"High Value",IF(Table3_1[[#This Row],[Final_sales]]&lt;=25000,"Medium Value","Low Value"))</f>
        <v>Low Value</v>
      </c>
    </row>
    <row r="37" spans="1:19" x14ac:dyDescent="0.3">
      <c r="A37" t="s">
        <v>80</v>
      </c>
      <c r="B37" s="3">
        <v>45327</v>
      </c>
      <c r="C37" t="s">
        <v>22</v>
      </c>
      <c r="D37" t="s">
        <v>215</v>
      </c>
      <c r="E37" t="s">
        <v>216</v>
      </c>
      <c r="F37" t="s">
        <v>25</v>
      </c>
      <c r="G37" t="s">
        <v>206</v>
      </c>
      <c r="H37">
        <v>1</v>
      </c>
      <c r="I37">
        <v>46000</v>
      </c>
      <c r="J37">
        <v>0.08</v>
      </c>
      <c r="K37">
        <v>42320</v>
      </c>
      <c r="L37">
        <f>Table3_1[[#This Row],[Quantity]]*Table3_1[[#This Row],[Unit_Price]]</f>
        <v>46000</v>
      </c>
      <c r="M37" t="s">
        <v>211</v>
      </c>
      <c r="N37">
        <f>YEAR(Table3_1[[#This Row],[Order_Date]])</f>
        <v>2024</v>
      </c>
      <c r="O37" t="str">
        <f>TEXT(Table3_1[[#This Row],[Order_Date]],"mmm")</f>
        <v>Feb</v>
      </c>
      <c r="P37" t="str">
        <f>TEXT(Table3_1[[#This Row],[Order_Date]],"yyyy-mm")</f>
        <v>2024-02</v>
      </c>
      <c r="Q37">
        <f>1</f>
        <v>1</v>
      </c>
      <c r="R37">
        <f>Table3_1[[#This Row],[Quantity]]*Table3_1[[#This Row],[Unit_Price]]*Table3_1[[#This Row],[Discount]]</f>
        <v>3680</v>
      </c>
      <c r="S37" t="str">
        <f>IF(Table3_1[[#This Row],[Final_sales]]&gt;=50000,"High Value",IF(Table3_1[[#This Row],[Final_sales]]&lt;=25000,"Medium Value","Low Value"))</f>
        <v>Low Value</v>
      </c>
    </row>
    <row r="38" spans="1:19" x14ac:dyDescent="0.3">
      <c r="A38" t="s">
        <v>81</v>
      </c>
      <c r="B38" s="3">
        <v>45328</v>
      </c>
      <c r="C38" t="s">
        <v>60</v>
      </c>
      <c r="D38" t="s">
        <v>217</v>
      </c>
      <c r="E38" t="s">
        <v>218</v>
      </c>
      <c r="F38" t="s">
        <v>15</v>
      </c>
      <c r="G38" t="s">
        <v>16</v>
      </c>
      <c r="H38">
        <v>2</v>
      </c>
      <c r="I38">
        <v>31500</v>
      </c>
      <c r="J38">
        <v>0.1</v>
      </c>
      <c r="K38">
        <v>56700</v>
      </c>
      <c r="L38">
        <f>Table3_1[[#This Row],[Quantity]]*Table3_1[[#This Row],[Unit_Price]]</f>
        <v>63000</v>
      </c>
      <c r="M38" t="s">
        <v>211</v>
      </c>
      <c r="N38">
        <f>YEAR(Table3_1[[#This Row],[Order_Date]])</f>
        <v>2024</v>
      </c>
      <c r="O38" t="str">
        <f>TEXT(Table3_1[[#This Row],[Order_Date]],"mmm")</f>
        <v>Feb</v>
      </c>
      <c r="P38" t="str">
        <f>TEXT(Table3_1[[#This Row],[Order_Date]],"yyyy-mm")</f>
        <v>2024-02</v>
      </c>
      <c r="Q38">
        <f>1</f>
        <v>1</v>
      </c>
      <c r="R38">
        <f>Table3_1[[#This Row],[Quantity]]*Table3_1[[#This Row],[Unit_Price]]*Table3_1[[#This Row],[Discount]]</f>
        <v>6300</v>
      </c>
      <c r="S38" t="str">
        <f>IF(Table3_1[[#This Row],[Final_sales]]&gt;=50000,"High Value",IF(Table3_1[[#This Row],[Final_sales]]&lt;=25000,"Medium Value","Low Value"))</f>
        <v>High Value</v>
      </c>
    </row>
    <row r="39" spans="1:19" x14ac:dyDescent="0.3">
      <c r="A39" t="s">
        <v>82</v>
      </c>
      <c r="B39" s="3">
        <v>45329</v>
      </c>
      <c r="C39" t="s">
        <v>48</v>
      </c>
      <c r="D39" t="s">
        <v>223</v>
      </c>
      <c r="E39" t="s">
        <v>220</v>
      </c>
      <c r="F39" t="s">
        <v>40</v>
      </c>
      <c r="G39" t="s">
        <v>207</v>
      </c>
      <c r="H39">
        <v>1</v>
      </c>
      <c r="I39">
        <v>39500</v>
      </c>
      <c r="J39">
        <v>0.05</v>
      </c>
      <c r="K39">
        <v>37525</v>
      </c>
      <c r="L39">
        <f>Table3_1[[#This Row],[Quantity]]*Table3_1[[#This Row],[Unit_Price]]</f>
        <v>39500</v>
      </c>
      <c r="M39" t="s">
        <v>211</v>
      </c>
      <c r="N39">
        <f>YEAR(Table3_1[[#This Row],[Order_Date]])</f>
        <v>2024</v>
      </c>
      <c r="O39" t="str">
        <f>TEXT(Table3_1[[#This Row],[Order_Date]],"mmm")</f>
        <v>Feb</v>
      </c>
      <c r="P39" t="str">
        <f>TEXT(Table3_1[[#This Row],[Order_Date]],"yyyy-mm")</f>
        <v>2024-02</v>
      </c>
      <c r="Q39">
        <f>1</f>
        <v>1</v>
      </c>
      <c r="R39">
        <f>Table3_1[[#This Row],[Quantity]]*Table3_1[[#This Row],[Unit_Price]]*Table3_1[[#This Row],[Discount]]</f>
        <v>1975</v>
      </c>
      <c r="S39" t="str">
        <f>IF(Table3_1[[#This Row],[Final_sales]]&gt;=50000,"High Value",IF(Table3_1[[#This Row],[Final_sales]]&lt;=25000,"Medium Value","Low Value"))</f>
        <v>Low Value</v>
      </c>
    </row>
    <row r="40" spans="1:19" x14ac:dyDescent="0.3">
      <c r="A40" t="s">
        <v>83</v>
      </c>
      <c r="B40" s="3">
        <v>45330</v>
      </c>
      <c r="C40" t="s">
        <v>42</v>
      </c>
      <c r="D40" t="s">
        <v>209</v>
      </c>
      <c r="E40" t="s">
        <v>210</v>
      </c>
      <c r="F40" t="s">
        <v>43</v>
      </c>
      <c r="G40" t="s">
        <v>16</v>
      </c>
      <c r="H40">
        <v>1</v>
      </c>
      <c r="I40">
        <v>59000</v>
      </c>
      <c r="J40">
        <v>0</v>
      </c>
      <c r="K40">
        <v>59000</v>
      </c>
      <c r="L40">
        <f>Table3_1[[#This Row],[Quantity]]*Table3_1[[#This Row],[Unit_Price]]</f>
        <v>59000</v>
      </c>
      <c r="M40" t="s">
        <v>211</v>
      </c>
      <c r="N40">
        <f>YEAR(Table3_1[[#This Row],[Order_Date]])</f>
        <v>2024</v>
      </c>
      <c r="O40" t="str">
        <f>TEXT(Table3_1[[#This Row],[Order_Date]],"mmm")</f>
        <v>Feb</v>
      </c>
      <c r="P40" t="str">
        <f>TEXT(Table3_1[[#This Row],[Order_Date]],"yyyy-mm")</f>
        <v>2024-02</v>
      </c>
      <c r="Q40">
        <f>1</f>
        <v>1</v>
      </c>
      <c r="R40">
        <f>Table3_1[[#This Row],[Quantity]]*Table3_1[[#This Row],[Unit_Price]]*Table3_1[[#This Row],[Discount]]</f>
        <v>0</v>
      </c>
      <c r="S40" t="str">
        <f>IF(Table3_1[[#This Row],[Final_sales]]&gt;=50000,"High Value",IF(Table3_1[[#This Row],[Final_sales]]&lt;=25000,"Medium Value","Low Value"))</f>
        <v>High Value</v>
      </c>
    </row>
    <row r="41" spans="1:19" x14ac:dyDescent="0.3">
      <c r="A41" t="s">
        <v>84</v>
      </c>
      <c r="B41" s="3">
        <v>45331</v>
      </c>
      <c r="C41" t="s">
        <v>22</v>
      </c>
      <c r="D41" t="s">
        <v>224</v>
      </c>
      <c r="E41" t="s">
        <v>214</v>
      </c>
      <c r="F41" t="s">
        <v>20</v>
      </c>
      <c r="G41" t="s">
        <v>16</v>
      </c>
      <c r="H41">
        <v>3</v>
      </c>
      <c r="I41">
        <v>15000</v>
      </c>
      <c r="J41">
        <v>0.05</v>
      </c>
      <c r="K41">
        <v>42750</v>
      </c>
      <c r="L41">
        <f>Table3_1[[#This Row],[Quantity]]*Table3_1[[#This Row],[Unit_Price]]</f>
        <v>45000</v>
      </c>
      <c r="M41" t="s">
        <v>211</v>
      </c>
      <c r="N41">
        <f>YEAR(Table3_1[[#This Row],[Order_Date]])</f>
        <v>2024</v>
      </c>
      <c r="O41" t="str">
        <f>TEXT(Table3_1[[#This Row],[Order_Date]],"mmm")</f>
        <v>Feb</v>
      </c>
      <c r="P41" t="str">
        <f>TEXT(Table3_1[[#This Row],[Order_Date]],"yyyy-mm")</f>
        <v>2024-02</v>
      </c>
      <c r="Q41">
        <f>1</f>
        <v>1</v>
      </c>
      <c r="R41">
        <f>Table3_1[[#This Row],[Quantity]]*Table3_1[[#This Row],[Unit_Price]]*Table3_1[[#This Row],[Discount]]</f>
        <v>2250</v>
      </c>
      <c r="S41" t="str">
        <f>IF(Table3_1[[#This Row],[Final_sales]]&gt;=50000,"High Value",IF(Table3_1[[#This Row],[Final_sales]]&lt;=25000,"Medium Value","Low Value"))</f>
        <v>Low Value</v>
      </c>
    </row>
    <row r="42" spans="1:19" x14ac:dyDescent="0.3">
      <c r="A42" t="s">
        <v>85</v>
      </c>
      <c r="B42" s="3">
        <v>45332</v>
      </c>
      <c r="C42" t="s">
        <v>60</v>
      </c>
      <c r="D42" t="s">
        <v>226</v>
      </c>
      <c r="E42" t="s">
        <v>218</v>
      </c>
      <c r="F42" t="s">
        <v>35</v>
      </c>
      <c r="G42" t="s">
        <v>206</v>
      </c>
      <c r="H42">
        <v>1</v>
      </c>
      <c r="I42">
        <v>14000</v>
      </c>
      <c r="J42">
        <v>0.05</v>
      </c>
      <c r="K42">
        <v>13300</v>
      </c>
      <c r="L42">
        <f>Table3_1[[#This Row],[Quantity]]*Table3_1[[#This Row],[Unit_Price]]</f>
        <v>14000</v>
      </c>
      <c r="M42" t="s">
        <v>211</v>
      </c>
      <c r="N42">
        <f>YEAR(Table3_1[[#This Row],[Order_Date]])</f>
        <v>2024</v>
      </c>
      <c r="O42" t="str">
        <f>TEXT(Table3_1[[#This Row],[Order_Date]],"mmm")</f>
        <v>Feb</v>
      </c>
      <c r="P42" t="str">
        <f>TEXT(Table3_1[[#This Row],[Order_Date]],"yyyy-mm")</f>
        <v>2024-02</v>
      </c>
      <c r="Q42">
        <f>1</f>
        <v>1</v>
      </c>
      <c r="R42">
        <f>Table3_1[[#This Row],[Quantity]]*Table3_1[[#This Row],[Unit_Price]]*Table3_1[[#This Row],[Discount]]</f>
        <v>700</v>
      </c>
      <c r="S42" t="str">
        <f>IF(Table3_1[[#This Row],[Final_sales]]&gt;=50000,"High Value",IF(Table3_1[[#This Row],[Final_sales]]&lt;=25000,"Medium Value","Low Value"))</f>
        <v>Medium Value</v>
      </c>
    </row>
    <row r="43" spans="1:19" x14ac:dyDescent="0.3">
      <c r="A43" t="s">
        <v>87</v>
      </c>
      <c r="B43" s="3">
        <v>45333</v>
      </c>
      <c r="C43" t="s">
        <v>48</v>
      </c>
      <c r="D43" t="s">
        <v>219</v>
      </c>
      <c r="E43" t="s">
        <v>220</v>
      </c>
      <c r="F43" t="s">
        <v>25</v>
      </c>
      <c r="G43" t="s">
        <v>206</v>
      </c>
      <c r="H43">
        <v>1</v>
      </c>
      <c r="I43">
        <v>44000</v>
      </c>
      <c r="J43">
        <v>0.1</v>
      </c>
      <c r="K43">
        <v>39600</v>
      </c>
      <c r="L43">
        <f>Table3_1[[#This Row],[Quantity]]*Table3_1[[#This Row],[Unit_Price]]</f>
        <v>44000</v>
      </c>
      <c r="M43" t="s">
        <v>211</v>
      </c>
      <c r="N43">
        <f>YEAR(Table3_1[[#This Row],[Order_Date]])</f>
        <v>2024</v>
      </c>
      <c r="O43" t="str">
        <f>TEXT(Table3_1[[#This Row],[Order_Date]],"mmm")</f>
        <v>Feb</v>
      </c>
      <c r="P43" t="str">
        <f>TEXT(Table3_1[[#This Row],[Order_Date]],"yyyy-mm")</f>
        <v>2024-02</v>
      </c>
      <c r="Q43">
        <f>1</f>
        <v>1</v>
      </c>
      <c r="R43">
        <f>Table3_1[[#This Row],[Quantity]]*Table3_1[[#This Row],[Unit_Price]]*Table3_1[[#This Row],[Discount]]</f>
        <v>4400</v>
      </c>
      <c r="S43" t="str">
        <f>IF(Table3_1[[#This Row],[Final_sales]]&gt;=50000,"High Value",IF(Table3_1[[#This Row],[Final_sales]]&lt;=25000,"Medium Value","Low Value"))</f>
        <v>Low Value</v>
      </c>
    </row>
    <row r="44" spans="1:19" x14ac:dyDescent="0.3">
      <c r="A44" t="s">
        <v>88</v>
      </c>
      <c r="B44" s="3">
        <v>45334</v>
      </c>
      <c r="C44" t="s">
        <v>42</v>
      </c>
      <c r="D44" t="s">
        <v>209</v>
      </c>
      <c r="E44" t="s">
        <v>210</v>
      </c>
      <c r="F44" t="s">
        <v>40</v>
      </c>
      <c r="G44" t="s">
        <v>207</v>
      </c>
      <c r="H44">
        <v>1</v>
      </c>
      <c r="I44">
        <v>40500</v>
      </c>
      <c r="J44">
        <v>0</v>
      </c>
      <c r="K44">
        <v>40500</v>
      </c>
      <c r="L44">
        <f>Table3_1[[#This Row],[Quantity]]*Table3_1[[#This Row],[Unit_Price]]</f>
        <v>40500</v>
      </c>
      <c r="M44" t="s">
        <v>211</v>
      </c>
      <c r="N44">
        <f>YEAR(Table3_1[[#This Row],[Order_Date]])</f>
        <v>2024</v>
      </c>
      <c r="O44" t="str">
        <f>TEXT(Table3_1[[#This Row],[Order_Date]],"mmm")</f>
        <v>Feb</v>
      </c>
      <c r="P44" t="str">
        <f>TEXT(Table3_1[[#This Row],[Order_Date]],"yyyy-mm")</f>
        <v>2024-02</v>
      </c>
      <c r="Q44">
        <f>1</f>
        <v>1</v>
      </c>
      <c r="R44">
        <f>Table3_1[[#This Row],[Quantity]]*Table3_1[[#This Row],[Unit_Price]]*Table3_1[[#This Row],[Discount]]</f>
        <v>0</v>
      </c>
      <c r="S44" t="str">
        <f>IF(Table3_1[[#This Row],[Final_sales]]&gt;=50000,"High Value",IF(Table3_1[[#This Row],[Final_sales]]&lt;=25000,"Medium Value","Low Value"))</f>
        <v>Low Value</v>
      </c>
    </row>
    <row r="45" spans="1:19" x14ac:dyDescent="0.3">
      <c r="A45" t="s">
        <v>89</v>
      </c>
      <c r="B45" s="3">
        <v>45335</v>
      </c>
      <c r="C45" t="s">
        <v>22</v>
      </c>
      <c r="D45" t="s">
        <v>227</v>
      </c>
      <c r="E45" t="s">
        <v>214</v>
      </c>
      <c r="F45" t="s">
        <v>15</v>
      </c>
      <c r="G45" t="s">
        <v>16</v>
      </c>
      <c r="H45">
        <v>2</v>
      </c>
      <c r="I45">
        <v>29500</v>
      </c>
      <c r="J45">
        <v>0.08</v>
      </c>
      <c r="K45">
        <v>54280</v>
      </c>
      <c r="L45">
        <f>Table3_1[[#This Row],[Quantity]]*Table3_1[[#This Row],[Unit_Price]]</f>
        <v>59000</v>
      </c>
      <c r="M45" t="s">
        <v>211</v>
      </c>
      <c r="N45">
        <f>YEAR(Table3_1[[#This Row],[Order_Date]])</f>
        <v>2024</v>
      </c>
      <c r="O45" t="str">
        <f>TEXT(Table3_1[[#This Row],[Order_Date]],"mmm")</f>
        <v>Feb</v>
      </c>
      <c r="P45" t="str">
        <f>TEXT(Table3_1[[#This Row],[Order_Date]],"yyyy-mm")</f>
        <v>2024-02</v>
      </c>
      <c r="Q45">
        <f>1</f>
        <v>1</v>
      </c>
      <c r="R45">
        <f>Table3_1[[#This Row],[Quantity]]*Table3_1[[#This Row],[Unit_Price]]*Table3_1[[#This Row],[Discount]]</f>
        <v>4720</v>
      </c>
      <c r="S45" t="str">
        <f>IF(Table3_1[[#This Row],[Final_sales]]&gt;=50000,"High Value",IF(Table3_1[[#This Row],[Final_sales]]&lt;=25000,"Medium Value","Low Value"))</f>
        <v>High Value</v>
      </c>
    </row>
    <row r="46" spans="1:19" x14ac:dyDescent="0.3">
      <c r="A46" t="s">
        <v>91</v>
      </c>
      <c r="B46" s="3">
        <v>45336</v>
      </c>
      <c r="C46" t="s">
        <v>48</v>
      </c>
      <c r="D46" t="s">
        <v>223</v>
      </c>
      <c r="E46" t="s">
        <v>220</v>
      </c>
      <c r="F46" t="s">
        <v>43</v>
      </c>
      <c r="G46" t="s">
        <v>16</v>
      </c>
      <c r="H46">
        <v>1</v>
      </c>
      <c r="I46">
        <v>61500</v>
      </c>
      <c r="J46">
        <v>0.1</v>
      </c>
      <c r="K46">
        <v>55350</v>
      </c>
      <c r="L46">
        <f>Table3_1[[#This Row],[Quantity]]*Table3_1[[#This Row],[Unit_Price]]</f>
        <v>61500</v>
      </c>
      <c r="M46" t="s">
        <v>211</v>
      </c>
      <c r="N46">
        <f>YEAR(Table3_1[[#This Row],[Order_Date]])</f>
        <v>2024</v>
      </c>
      <c r="O46" t="str">
        <f>TEXT(Table3_1[[#This Row],[Order_Date]],"mmm")</f>
        <v>Feb</v>
      </c>
      <c r="P46" t="str">
        <f>TEXT(Table3_1[[#This Row],[Order_Date]],"yyyy-mm")</f>
        <v>2024-02</v>
      </c>
      <c r="Q46">
        <f>1</f>
        <v>1</v>
      </c>
      <c r="R46">
        <f>Table3_1[[#This Row],[Quantity]]*Table3_1[[#This Row],[Unit_Price]]*Table3_1[[#This Row],[Discount]]</f>
        <v>6150</v>
      </c>
      <c r="S46" t="str">
        <f>IF(Table3_1[[#This Row],[Final_sales]]&gt;=50000,"High Value",IF(Table3_1[[#This Row],[Final_sales]]&lt;=25000,"Medium Value","Low Value"))</f>
        <v>High Value</v>
      </c>
    </row>
    <row r="47" spans="1:19" x14ac:dyDescent="0.3">
      <c r="A47" t="s">
        <v>92</v>
      </c>
      <c r="B47" s="3">
        <v>45337</v>
      </c>
      <c r="C47" t="s">
        <v>60</v>
      </c>
      <c r="D47" t="s">
        <v>228</v>
      </c>
      <c r="E47" t="s">
        <v>218</v>
      </c>
      <c r="F47" t="s">
        <v>20</v>
      </c>
      <c r="G47" t="s">
        <v>16</v>
      </c>
      <c r="H47">
        <v>2</v>
      </c>
      <c r="I47">
        <v>17500</v>
      </c>
      <c r="J47">
        <v>0.05</v>
      </c>
      <c r="K47">
        <v>33250</v>
      </c>
      <c r="L47">
        <f>Table3_1[[#This Row],[Quantity]]*Table3_1[[#This Row],[Unit_Price]]</f>
        <v>35000</v>
      </c>
      <c r="M47" t="s">
        <v>211</v>
      </c>
      <c r="N47">
        <f>YEAR(Table3_1[[#This Row],[Order_Date]])</f>
        <v>2024</v>
      </c>
      <c r="O47" t="str">
        <f>TEXT(Table3_1[[#This Row],[Order_Date]],"mmm")</f>
        <v>Feb</v>
      </c>
      <c r="P47" t="str">
        <f>TEXT(Table3_1[[#This Row],[Order_Date]],"yyyy-mm")</f>
        <v>2024-02</v>
      </c>
      <c r="Q47">
        <f>1</f>
        <v>1</v>
      </c>
      <c r="R47">
        <f>Table3_1[[#This Row],[Quantity]]*Table3_1[[#This Row],[Unit_Price]]*Table3_1[[#This Row],[Discount]]</f>
        <v>1750</v>
      </c>
      <c r="S47" t="str">
        <f>IF(Table3_1[[#This Row],[Final_sales]]&gt;=50000,"High Value",IF(Table3_1[[#This Row],[Final_sales]]&lt;=25000,"Medium Value","Low Value"))</f>
        <v>Low Value</v>
      </c>
    </row>
    <row r="48" spans="1:19" x14ac:dyDescent="0.3">
      <c r="A48" t="s">
        <v>94</v>
      </c>
      <c r="B48" s="3">
        <v>45338</v>
      </c>
      <c r="C48" t="s">
        <v>42</v>
      </c>
      <c r="D48" t="s">
        <v>222</v>
      </c>
      <c r="E48" t="s">
        <v>212</v>
      </c>
      <c r="F48" t="s">
        <v>30</v>
      </c>
      <c r="G48" t="s">
        <v>206</v>
      </c>
      <c r="H48">
        <v>1</v>
      </c>
      <c r="I48">
        <v>30500</v>
      </c>
      <c r="J48">
        <v>0</v>
      </c>
      <c r="K48">
        <v>30500</v>
      </c>
      <c r="L48">
        <f>Table3_1[[#This Row],[Quantity]]*Table3_1[[#This Row],[Unit_Price]]</f>
        <v>30500</v>
      </c>
      <c r="M48" t="s">
        <v>211</v>
      </c>
      <c r="N48">
        <f>YEAR(Table3_1[[#This Row],[Order_Date]])</f>
        <v>2024</v>
      </c>
      <c r="O48" t="str">
        <f>TEXT(Table3_1[[#This Row],[Order_Date]],"mmm")</f>
        <v>Feb</v>
      </c>
      <c r="P48" t="str">
        <f>TEXT(Table3_1[[#This Row],[Order_Date]],"yyyy-mm")</f>
        <v>2024-02</v>
      </c>
      <c r="Q48">
        <f>1</f>
        <v>1</v>
      </c>
      <c r="R48">
        <f>Table3_1[[#This Row],[Quantity]]*Table3_1[[#This Row],[Unit_Price]]*Table3_1[[#This Row],[Discount]]</f>
        <v>0</v>
      </c>
      <c r="S48" t="str">
        <f>IF(Table3_1[[#This Row],[Final_sales]]&gt;=50000,"High Value",IF(Table3_1[[#This Row],[Final_sales]]&lt;=25000,"Medium Value","Low Value"))</f>
        <v>Low Value</v>
      </c>
    </row>
    <row r="49" spans="1:19" x14ac:dyDescent="0.3">
      <c r="A49" t="s">
        <v>95</v>
      </c>
      <c r="B49" s="3">
        <v>45339</v>
      </c>
      <c r="C49" t="s">
        <v>22</v>
      </c>
      <c r="D49" t="s">
        <v>213</v>
      </c>
      <c r="E49" t="s">
        <v>214</v>
      </c>
      <c r="F49" t="s">
        <v>25</v>
      </c>
      <c r="G49" t="s">
        <v>206</v>
      </c>
      <c r="H49">
        <v>1</v>
      </c>
      <c r="I49">
        <v>47000</v>
      </c>
      <c r="J49">
        <v>0.08</v>
      </c>
      <c r="K49">
        <v>43240</v>
      </c>
      <c r="L49">
        <f>Table3_1[[#This Row],[Quantity]]*Table3_1[[#This Row],[Unit_Price]]</f>
        <v>47000</v>
      </c>
      <c r="M49" t="s">
        <v>211</v>
      </c>
      <c r="N49">
        <f>YEAR(Table3_1[[#This Row],[Order_Date]])</f>
        <v>2024</v>
      </c>
      <c r="O49" t="str">
        <f>TEXT(Table3_1[[#This Row],[Order_Date]],"mmm")</f>
        <v>Feb</v>
      </c>
      <c r="P49" t="str">
        <f>TEXT(Table3_1[[#This Row],[Order_Date]],"yyyy-mm")</f>
        <v>2024-02</v>
      </c>
      <c r="Q49">
        <f>1</f>
        <v>1</v>
      </c>
      <c r="R49">
        <f>Table3_1[[#This Row],[Quantity]]*Table3_1[[#This Row],[Unit_Price]]*Table3_1[[#This Row],[Discount]]</f>
        <v>3760</v>
      </c>
      <c r="S49" t="str">
        <f>IF(Table3_1[[#This Row],[Final_sales]]&gt;=50000,"High Value",IF(Table3_1[[#This Row],[Final_sales]]&lt;=25000,"Medium Value","Low Value"))</f>
        <v>Low Value</v>
      </c>
    </row>
    <row r="50" spans="1:19" x14ac:dyDescent="0.3">
      <c r="A50" t="s">
        <v>96</v>
      </c>
      <c r="B50" s="3">
        <v>45340</v>
      </c>
      <c r="C50" t="s">
        <v>48</v>
      </c>
      <c r="D50" t="s">
        <v>229</v>
      </c>
      <c r="E50" t="s">
        <v>220</v>
      </c>
      <c r="F50" t="s">
        <v>40</v>
      </c>
      <c r="G50" t="s">
        <v>207</v>
      </c>
      <c r="H50">
        <v>1</v>
      </c>
      <c r="I50">
        <v>41500</v>
      </c>
      <c r="J50">
        <v>0.05</v>
      </c>
      <c r="K50">
        <v>39425</v>
      </c>
      <c r="L50">
        <f>Table3_1[[#This Row],[Quantity]]*Table3_1[[#This Row],[Unit_Price]]</f>
        <v>41500</v>
      </c>
      <c r="M50" t="s">
        <v>211</v>
      </c>
      <c r="N50">
        <f>YEAR(Table3_1[[#This Row],[Order_Date]])</f>
        <v>2024</v>
      </c>
      <c r="O50" t="str">
        <f>TEXT(Table3_1[[#This Row],[Order_Date]],"mmm")</f>
        <v>Feb</v>
      </c>
      <c r="P50" t="str">
        <f>TEXT(Table3_1[[#This Row],[Order_Date]],"yyyy-mm")</f>
        <v>2024-02</v>
      </c>
      <c r="Q50">
        <f>1</f>
        <v>1</v>
      </c>
      <c r="R50">
        <f>Table3_1[[#This Row],[Quantity]]*Table3_1[[#This Row],[Unit_Price]]*Table3_1[[#This Row],[Discount]]</f>
        <v>2075</v>
      </c>
      <c r="S50" t="str">
        <f>IF(Table3_1[[#This Row],[Final_sales]]&gt;=50000,"High Value",IF(Table3_1[[#This Row],[Final_sales]]&lt;=25000,"Medium Value","Low Value"))</f>
        <v>Low Value</v>
      </c>
    </row>
    <row r="51" spans="1:19" x14ac:dyDescent="0.3">
      <c r="A51" t="s">
        <v>98</v>
      </c>
      <c r="B51" s="3">
        <v>45341</v>
      </c>
      <c r="C51" t="s">
        <v>60</v>
      </c>
      <c r="D51" t="s">
        <v>217</v>
      </c>
      <c r="E51" t="s">
        <v>218</v>
      </c>
      <c r="F51" t="s">
        <v>43</v>
      </c>
      <c r="G51" t="s">
        <v>16</v>
      </c>
      <c r="H51">
        <v>2</v>
      </c>
      <c r="I51">
        <v>55500</v>
      </c>
      <c r="J51">
        <v>0.12</v>
      </c>
      <c r="K51">
        <v>97680</v>
      </c>
      <c r="L51">
        <f>Table3_1[[#This Row],[Quantity]]*Table3_1[[#This Row],[Unit_Price]]</f>
        <v>111000</v>
      </c>
      <c r="M51" t="s">
        <v>211</v>
      </c>
      <c r="N51">
        <f>YEAR(Table3_1[[#This Row],[Order_Date]])</f>
        <v>2024</v>
      </c>
      <c r="O51" t="str">
        <f>TEXT(Table3_1[[#This Row],[Order_Date]],"mmm")</f>
        <v>Feb</v>
      </c>
      <c r="P51" t="str">
        <f>TEXT(Table3_1[[#This Row],[Order_Date]],"yyyy-mm")</f>
        <v>2024-02</v>
      </c>
      <c r="Q51">
        <f>1</f>
        <v>1</v>
      </c>
      <c r="R51">
        <f>Table3_1[[#This Row],[Quantity]]*Table3_1[[#This Row],[Unit_Price]]*Table3_1[[#This Row],[Discount]]</f>
        <v>13320</v>
      </c>
      <c r="S51" t="str">
        <f>IF(Table3_1[[#This Row],[Final_sales]]&gt;=50000,"High Value",IF(Table3_1[[#This Row],[Final_sales]]&lt;=25000,"Medium Value","Low Value"))</f>
        <v>High Value</v>
      </c>
    </row>
    <row r="52" spans="1:19" x14ac:dyDescent="0.3">
      <c r="A52" t="s">
        <v>99</v>
      </c>
      <c r="B52" s="3">
        <v>45342</v>
      </c>
      <c r="C52" t="s">
        <v>42</v>
      </c>
      <c r="D52" t="s">
        <v>225</v>
      </c>
      <c r="E52" t="s">
        <v>212</v>
      </c>
      <c r="F52" t="s">
        <v>15</v>
      </c>
      <c r="G52" t="s">
        <v>16</v>
      </c>
      <c r="H52">
        <v>1</v>
      </c>
      <c r="I52">
        <v>35000</v>
      </c>
      <c r="J52">
        <v>0.1</v>
      </c>
      <c r="K52">
        <v>31500</v>
      </c>
      <c r="L52">
        <f>Table3_1[[#This Row],[Quantity]]*Table3_1[[#This Row],[Unit_Price]]</f>
        <v>35000</v>
      </c>
      <c r="M52" t="s">
        <v>211</v>
      </c>
      <c r="N52">
        <f>YEAR(Table3_1[[#This Row],[Order_Date]])</f>
        <v>2024</v>
      </c>
      <c r="O52" t="str">
        <f>TEXT(Table3_1[[#This Row],[Order_Date]],"mmm")</f>
        <v>Feb</v>
      </c>
      <c r="P52" t="str">
        <f>TEXT(Table3_1[[#This Row],[Order_Date]],"yyyy-mm")</f>
        <v>2024-02</v>
      </c>
      <c r="Q52">
        <f>1</f>
        <v>1</v>
      </c>
      <c r="R52">
        <f>Table3_1[[#This Row],[Quantity]]*Table3_1[[#This Row],[Unit_Price]]*Table3_1[[#This Row],[Discount]]</f>
        <v>3500</v>
      </c>
      <c r="S52" t="str">
        <f>IF(Table3_1[[#This Row],[Final_sales]]&gt;=50000,"High Value",IF(Table3_1[[#This Row],[Final_sales]]&lt;=25000,"Medium Value","Low Value"))</f>
        <v>Low Value</v>
      </c>
    </row>
    <row r="53" spans="1:19" x14ac:dyDescent="0.3">
      <c r="A53" t="s">
        <v>100</v>
      </c>
      <c r="B53" s="3">
        <v>45343</v>
      </c>
      <c r="C53" t="s">
        <v>22</v>
      </c>
      <c r="D53" t="s">
        <v>230</v>
      </c>
      <c r="E53" t="s">
        <v>214</v>
      </c>
      <c r="F53" t="s">
        <v>20</v>
      </c>
      <c r="G53" t="s">
        <v>16</v>
      </c>
      <c r="H53">
        <v>3</v>
      </c>
      <c r="I53">
        <v>14500</v>
      </c>
      <c r="J53">
        <v>0.05</v>
      </c>
      <c r="K53">
        <v>41325</v>
      </c>
      <c r="L53">
        <f>Table3_1[[#This Row],[Quantity]]*Table3_1[[#This Row],[Unit_Price]]</f>
        <v>43500</v>
      </c>
      <c r="M53" t="s">
        <v>211</v>
      </c>
      <c r="N53">
        <f>YEAR(Table3_1[[#This Row],[Order_Date]])</f>
        <v>2024</v>
      </c>
      <c r="O53" t="str">
        <f>TEXT(Table3_1[[#This Row],[Order_Date]],"mmm")</f>
        <v>Feb</v>
      </c>
      <c r="P53" t="str">
        <f>TEXT(Table3_1[[#This Row],[Order_Date]],"yyyy-mm")</f>
        <v>2024-02</v>
      </c>
      <c r="Q53">
        <f>1</f>
        <v>1</v>
      </c>
      <c r="R53">
        <f>Table3_1[[#This Row],[Quantity]]*Table3_1[[#This Row],[Unit_Price]]*Table3_1[[#This Row],[Discount]]</f>
        <v>2175</v>
      </c>
      <c r="S53" t="str">
        <f>IF(Table3_1[[#This Row],[Final_sales]]&gt;=50000,"High Value",IF(Table3_1[[#This Row],[Final_sales]]&lt;=25000,"Medium Value","Low Value"))</f>
        <v>Low Value</v>
      </c>
    </row>
    <row r="54" spans="1:19" x14ac:dyDescent="0.3">
      <c r="A54" t="s">
        <v>103</v>
      </c>
      <c r="B54" s="3">
        <v>45344</v>
      </c>
      <c r="C54" t="s">
        <v>48</v>
      </c>
      <c r="D54" t="s">
        <v>231</v>
      </c>
      <c r="E54" t="s">
        <v>220</v>
      </c>
      <c r="F54" t="s">
        <v>35</v>
      </c>
      <c r="G54" t="s">
        <v>206</v>
      </c>
      <c r="H54">
        <v>1</v>
      </c>
      <c r="I54">
        <v>13500</v>
      </c>
      <c r="J54">
        <v>0</v>
      </c>
      <c r="K54">
        <v>13500</v>
      </c>
      <c r="L54">
        <f>Table3_1[[#This Row],[Quantity]]*Table3_1[[#This Row],[Unit_Price]]</f>
        <v>13500</v>
      </c>
      <c r="M54" t="s">
        <v>211</v>
      </c>
      <c r="N54">
        <f>YEAR(Table3_1[[#This Row],[Order_Date]])</f>
        <v>2024</v>
      </c>
      <c r="O54" t="str">
        <f>TEXT(Table3_1[[#This Row],[Order_Date]],"mmm")</f>
        <v>Feb</v>
      </c>
      <c r="P54" t="str">
        <f>TEXT(Table3_1[[#This Row],[Order_Date]],"yyyy-mm")</f>
        <v>2024-02</v>
      </c>
      <c r="Q54">
        <f>1</f>
        <v>1</v>
      </c>
      <c r="R54">
        <f>Table3_1[[#This Row],[Quantity]]*Table3_1[[#This Row],[Unit_Price]]*Table3_1[[#This Row],[Discount]]</f>
        <v>0</v>
      </c>
      <c r="S54" t="str">
        <f>IF(Table3_1[[#This Row],[Final_sales]]&gt;=50000,"High Value",IF(Table3_1[[#This Row],[Final_sales]]&lt;=25000,"Medium Value","Low Value"))</f>
        <v>Medium Value</v>
      </c>
    </row>
    <row r="55" spans="1:19" x14ac:dyDescent="0.3">
      <c r="A55" t="s">
        <v>105</v>
      </c>
      <c r="B55" s="3">
        <v>45345</v>
      </c>
      <c r="C55" t="s">
        <v>60</v>
      </c>
      <c r="D55" t="s">
        <v>221</v>
      </c>
      <c r="E55" t="s">
        <v>218</v>
      </c>
      <c r="F55" t="s">
        <v>30</v>
      </c>
      <c r="G55" t="s">
        <v>206</v>
      </c>
      <c r="H55">
        <v>2</v>
      </c>
      <c r="I55">
        <v>26500</v>
      </c>
      <c r="J55">
        <v>0.1</v>
      </c>
      <c r="K55">
        <v>47700</v>
      </c>
      <c r="L55">
        <f>Table3_1[[#This Row],[Quantity]]*Table3_1[[#This Row],[Unit_Price]]</f>
        <v>53000</v>
      </c>
      <c r="M55" t="s">
        <v>211</v>
      </c>
      <c r="N55">
        <f>YEAR(Table3_1[[#This Row],[Order_Date]])</f>
        <v>2024</v>
      </c>
      <c r="O55" t="str">
        <f>TEXT(Table3_1[[#This Row],[Order_Date]],"mmm")</f>
        <v>Feb</v>
      </c>
      <c r="P55" t="str">
        <f>TEXT(Table3_1[[#This Row],[Order_Date]],"yyyy-mm")</f>
        <v>2024-02</v>
      </c>
      <c r="Q55">
        <f>1</f>
        <v>1</v>
      </c>
      <c r="R55">
        <f>Table3_1[[#This Row],[Quantity]]*Table3_1[[#This Row],[Unit_Price]]*Table3_1[[#This Row],[Discount]]</f>
        <v>5300</v>
      </c>
      <c r="S55" t="str">
        <f>IF(Table3_1[[#This Row],[Final_sales]]&gt;=50000,"High Value",IF(Table3_1[[#This Row],[Final_sales]]&lt;=25000,"Medium Value","Low Value"))</f>
        <v>Low Value</v>
      </c>
    </row>
    <row r="56" spans="1:19" x14ac:dyDescent="0.3">
      <c r="A56" t="s">
        <v>106</v>
      </c>
      <c r="B56" s="3">
        <v>45346</v>
      </c>
      <c r="C56" t="s">
        <v>42</v>
      </c>
      <c r="D56" t="s">
        <v>209</v>
      </c>
      <c r="E56" t="s">
        <v>210</v>
      </c>
      <c r="F56" t="s">
        <v>43</v>
      </c>
      <c r="G56" t="s">
        <v>16</v>
      </c>
      <c r="H56">
        <v>1</v>
      </c>
      <c r="I56">
        <v>60500</v>
      </c>
      <c r="J56">
        <v>0.15</v>
      </c>
      <c r="K56">
        <v>51425</v>
      </c>
      <c r="L56">
        <f>Table3_1[[#This Row],[Quantity]]*Table3_1[[#This Row],[Unit_Price]]</f>
        <v>60500</v>
      </c>
      <c r="M56" t="s">
        <v>211</v>
      </c>
      <c r="N56">
        <f>YEAR(Table3_1[[#This Row],[Order_Date]])</f>
        <v>2024</v>
      </c>
      <c r="O56" t="str">
        <f>TEXT(Table3_1[[#This Row],[Order_Date]],"mmm")</f>
        <v>Feb</v>
      </c>
      <c r="P56" t="str">
        <f>TEXT(Table3_1[[#This Row],[Order_Date]],"yyyy-mm")</f>
        <v>2024-02</v>
      </c>
      <c r="Q56">
        <f>1</f>
        <v>1</v>
      </c>
      <c r="R56">
        <f>Table3_1[[#This Row],[Quantity]]*Table3_1[[#This Row],[Unit_Price]]*Table3_1[[#This Row],[Discount]]</f>
        <v>9075</v>
      </c>
      <c r="S56" t="str">
        <f>IF(Table3_1[[#This Row],[Final_sales]]&gt;=50000,"High Value",IF(Table3_1[[#This Row],[Final_sales]]&lt;=25000,"Medium Value","Low Value"))</f>
        <v>High Value</v>
      </c>
    </row>
    <row r="57" spans="1:19" x14ac:dyDescent="0.3">
      <c r="A57" t="s">
        <v>107</v>
      </c>
      <c r="B57" s="3">
        <v>45347</v>
      </c>
      <c r="C57" t="s">
        <v>22</v>
      </c>
      <c r="D57" t="s">
        <v>232</v>
      </c>
      <c r="E57" t="s">
        <v>214</v>
      </c>
      <c r="F57" t="s">
        <v>40</v>
      </c>
      <c r="G57" t="s">
        <v>207</v>
      </c>
      <c r="H57">
        <v>1</v>
      </c>
      <c r="I57">
        <v>39500</v>
      </c>
      <c r="J57">
        <v>0.05</v>
      </c>
      <c r="K57">
        <v>37525</v>
      </c>
      <c r="L57">
        <f>Table3_1[[#This Row],[Quantity]]*Table3_1[[#This Row],[Unit_Price]]</f>
        <v>39500</v>
      </c>
      <c r="M57" t="s">
        <v>211</v>
      </c>
      <c r="N57">
        <f>YEAR(Table3_1[[#This Row],[Order_Date]])</f>
        <v>2024</v>
      </c>
      <c r="O57" t="str">
        <f>TEXT(Table3_1[[#This Row],[Order_Date]],"mmm")</f>
        <v>Feb</v>
      </c>
      <c r="P57" t="str">
        <f>TEXT(Table3_1[[#This Row],[Order_Date]],"yyyy-mm")</f>
        <v>2024-02</v>
      </c>
      <c r="Q57">
        <f>1</f>
        <v>1</v>
      </c>
      <c r="R57">
        <f>Table3_1[[#This Row],[Quantity]]*Table3_1[[#This Row],[Unit_Price]]*Table3_1[[#This Row],[Discount]]</f>
        <v>1975</v>
      </c>
      <c r="S57" t="str">
        <f>IF(Table3_1[[#This Row],[Final_sales]]&gt;=50000,"High Value",IF(Table3_1[[#This Row],[Final_sales]]&lt;=25000,"Medium Value","Low Value"))</f>
        <v>Low Value</v>
      </c>
    </row>
    <row r="58" spans="1:19" x14ac:dyDescent="0.3">
      <c r="A58" t="s">
        <v>109</v>
      </c>
      <c r="B58" s="3">
        <v>45348</v>
      </c>
      <c r="C58" t="s">
        <v>48</v>
      </c>
      <c r="D58" t="s">
        <v>233</v>
      </c>
      <c r="E58" t="s">
        <v>220</v>
      </c>
      <c r="F58" t="s">
        <v>25</v>
      </c>
      <c r="G58" t="s">
        <v>206</v>
      </c>
      <c r="H58">
        <v>1</v>
      </c>
      <c r="I58">
        <v>45500</v>
      </c>
      <c r="J58">
        <v>0.08</v>
      </c>
      <c r="K58">
        <v>41860</v>
      </c>
      <c r="L58">
        <f>Table3_1[[#This Row],[Quantity]]*Table3_1[[#This Row],[Unit_Price]]</f>
        <v>45500</v>
      </c>
      <c r="M58" t="s">
        <v>211</v>
      </c>
      <c r="N58">
        <f>YEAR(Table3_1[[#This Row],[Order_Date]])</f>
        <v>2024</v>
      </c>
      <c r="O58" t="str">
        <f>TEXT(Table3_1[[#This Row],[Order_Date]],"mmm")</f>
        <v>Feb</v>
      </c>
      <c r="P58" t="str">
        <f>TEXT(Table3_1[[#This Row],[Order_Date]],"yyyy-mm")</f>
        <v>2024-02</v>
      </c>
      <c r="Q58">
        <f>1</f>
        <v>1</v>
      </c>
      <c r="R58">
        <f>Table3_1[[#This Row],[Quantity]]*Table3_1[[#This Row],[Unit_Price]]*Table3_1[[#This Row],[Discount]]</f>
        <v>3640</v>
      </c>
      <c r="S58" t="str">
        <f>IF(Table3_1[[#This Row],[Final_sales]]&gt;=50000,"High Value",IF(Table3_1[[#This Row],[Final_sales]]&lt;=25000,"Medium Value","Low Value"))</f>
        <v>Low Value</v>
      </c>
    </row>
    <row r="59" spans="1:19" x14ac:dyDescent="0.3">
      <c r="A59" t="s">
        <v>111</v>
      </c>
      <c r="B59" s="3">
        <v>45349</v>
      </c>
      <c r="C59" t="s">
        <v>60</v>
      </c>
      <c r="D59" t="s">
        <v>234</v>
      </c>
      <c r="E59" t="s">
        <v>218</v>
      </c>
      <c r="F59" t="s">
        <v>15</v>
      </c>
      <c r="G59" t="s">
        <v>16</v>
      </c>
      <c r="H59">
        <v>2</v>
      </c>
      <c r="I59">
        <v>32500</v>
      </c>
      <c r="J59">
        <v>0.1</v>
      </c>
      <c r="K59">
        <v>58500</v>
      </c>
      <c r="L59">
        <f>Table3_1[[#This Row],[Quantity]]*Table3_1[[#This Row],[Unit_Price]]</f>
        <v>65000</v>
      </c>
      <c r="M59" t="s">
        <v>211</v>
      </c>
      <c r="N59">
        <f>YEAR(Table3_1[[#This Row],[Order_Date]])</f>
        <v>2024</v>
      </c>
      <c r="O59" t="str">
        <f>TEXT(Table3_1[[#This Row],[Order_Date]],"mmm")</f>
        <v>Feb</v>
      </c>
      <c r="P59" t="str">
        <f>TEXT(Table3_1[[#This Row],[Order_Date]],"yyyy-mm")</f>
        <v>2024-02</v>
      </c>
      <c r="Q59">
        <f>1</f>
        <v>1</v>
      </c>
      <c r="R59">
        <f>Table3_1[[#This Row],[Quantity]]*Table3_1[[#This Row],[Unit_Price]]*Table3_1[[#This Row],[Discount]]</f>
        <v>6500</v>
      </c>
      <c r="S59" t="str">
        <f>IF(Table3_1[[#This Row],[Final_sales]]&gt;=50000,"High Value",IF(Table3_1[[#This Row],[Final_sales]]&lt;=25000,"Medium Value","Low Value"))</f>
        <v>High Value</v>
      </c>
    </row>
    <row r="60" spans="1:19" x14ac:dyDescent="0.3">
      <c r="A60" t="s">
        <v>113</v>
      </c>
      <c r="B60" s="3">
        <v>45350</v>
      </c>
      <c r="C60" t="s">
        <v>42</v>
      </c>
      <c r="D60" t="s">
        <v>235</v>
      </c>
      <c r="E60" t="s">
        <v>212</v>
      </c>
      <c r="F60" t="s">
        <v>20</v>
      </c>
      <c r="G60" t="s">
        <v>16</v>
      </c>
      <c r="H60">
        <v>2</v>
      </c>
      <c r="I60">
        <v>16500</v>
      </c>
      <c r="J60">
        <v>0</v>
      </c>
      <c r="K60">
        <v>33000</v>
      </c>
      <c r="L60">
        <f>Table3_1[[#This Row],[Quantity]]*Table3_1[[#This Row],[Unit_Price]]</f>
        <v>33000</v>
      </c>
      <c r="M60" t="s">
        <v>211</v>
      </c>
      <c r="N60">
        <f>YEAR(Table3_1[[#This Row],[Order_Date]])</f>
        <v>2024</v>
      </c>
      <c r="O60" t="str">
        <f>TEXT(Table3_1[[#This Row],[Order_Date]],"mmm")</f>
        <v>Feb</v>
      </c>
      <c r="P60" t="str">
        <f>TEXT(Table3_1[[#This Row],[Order_Date]],"yyyy-mm")</f>
        <v>2024-02</v>
      </c>
      <c r="Q60">
        <f>1</f>
        <v>1</v>
      </c>
      <c r="R60">
        <f>Table3_1[[#This Row],[Quantity]]*Table3_1[[#This Row],[Unit_Price]]*Table3_1[[#This Row],[Discount]]</f>
        <v>0</v>
      </c>
      <c r="S60" t="str">
        <f>IF(Table3_1[[#This Row],[Final_sales]]&gt;=50000,"High Value",IF(Table3_1[[#This Row],[Final_sales]]&lt;=25000,"Medium Value","Low Value"))</f>
        <v>Low Value</v>
      </c>
    </row>
    <row r="61" spans="1:19" x14ac:dyDescent="0.3">
      <c r="A61" t="s">
        <v>115</v>
      </c>
      <c r="B61" s="3">
        <v>45351</v>
      </c>
      <c r="C61" t="s">
        <v>22</v>
      </c>
      <c r="D61" t="s">
        <v>236</v>
      </c>
      <c r="E61" t="s">
        <v>214</v>
      </c>
      <c r="F61" t="s">
        <v>43</v>
      </c>
      <c r="G61" t="s">
        <v>16</v>
      </c>
      <c r="H61">
        <v>1</v>
      </c>
      <c r="I61">
        <v>57500</v>
      </c>
      <c r="J61">
        <v>0.1</v>
      </c>
      <c r="K61">
        <v>51750</v>
      </c>
      <c r="L61">
        <f>Table3_1[[#This Row],[Quantity]]*Table3_1[[#This Row],[Unit_Price]]</f>
        <v>57500</v>
      </c>
      <c r="M61" t="s">
        <v>211</v>
      </c>
      <c r="N61">
        <f>YEAR(Table3_1[[#This Row],[Order_Date]])</f>
        <v>2024</v>
      </c>
      <c r="O61" t="str">
        <f>TEXT(Table3_1[[#This Row],[Order_Date]],"mmm")</f>
        <v>Feb</v>
      </c>
      <c r="P61" t="str">
        <f>TEXT(Table3_1[[#This Row],[Order_Date]],"yyyy-mm")</f>
        <v>2024-02</v>
      </c>
      <c r="Q61">
        <f>1</f>
        <v>1</v>
      </c>
      <c r="R61">
        <f>Table3_1[[#This Row],[Quantity]]*Table3_1[[#This Row],[Unit_Price]]*Table3_1[[#This Row],[Discount]]</f>
        <v>5750</v>
      </c>
      <c r="S61" t="str">
        <f>IF(Table3_1[[#This Row],[Final_sales]]&gt;=50000,"High Value",IF(Table3_1[[#This Row],[Final_sales]]&lt;=25000,"Medium Value","Low Value"))</f>
        <v>High Value</v>
      </c>
    </row>
    <row r="62" spans="1:19" x14ac:dyDescent="0.3">
      <c r="A62" t="s">
        <v>117</v>
      </c>
      <c r="B62" s="3">
        <v>45352</v>
      </c>
      <c r="C62" t="s">
        <v>48</v>
      </c>
      <c r="D62" t="s">
        <v>219</v>
      </c>
      <c r="E62" t="s">
        <v>220</v>
      </c>
      <c r="F62" t="s">
        <v>15</v>
      </c>
      <c r="G62" t="s">
        <v>16</v>
      </c>
      <c r="H62">
        <v>1</v>
      </c>
      <c r="I62">
        <v>34500</v>
      </c>
      <c r="J62">
        <v>0.05</v>
      </c>
      <c r="K62">
        <v>32775</v>
      </c>
      <c r="L62">
        <f>Table3_1[[#This Row],[Quantity]]*Table3_1[[#This Row],[Unit_Price]]</f>
        <v>34500</v>
      </c>
      <c r="M62" t="s">
        <v>211</v>
      </c>
      <c r="N62">
        <f>YEAR(Table3_1[[#This Row],[Order_Date]])</f>
        <v>2024</v>
      </c>
      <c r="O62" t="str">
        <f>TEXT(Table3_1[[#This Row],[Order_Date]],"mmm")</f>
        <v>Mar</v>
      </c>
      <c r="P62" t="str">
        <f>TEXT(Table3_1[[#This Row],[Order_Date]],"yyyy-mm")</f>
        <v>2024-03</v>
      </c>
      <c r="Q62">
        <f>1</f>
        <v>1</v>
      </c>
      <c r="R62">
        <f>Table3_1[[#This Row],[Quantity]]*Table3_1[[#This Row],[Unit_Price]]*Table3_1[[#This Row],[Discount]]</f>
        <v>1725</v>
      </c>
      <c r="S62" t="str">
        <f>IF(Table3_1[[#This Row],[Final_sales]]&gt;=50000,"High Value",IF(Table3_1[[#This Row],[Final_sales]]&lt;=25000,"Medium Value","Low Value"))</f>
        <v>Low Value</v>
      </c>
    </row>
    <row r="63" spans="1:19" x14ac:dyDescent="0.3">
      <c r="A63" t="s">
        <v>118</v>
      </c>
      <c r="B63" s="3">
        <v>45353</v>
      </c>
      <c r="C63" t="s">
        <v>60</v>
      </c>
      <c r="D63" t="s">
        <v>237</v>
      </c>
      <c r="E63" t="s">
        <v>218</v>
      </c>
      <c r="F63" t="s">
        <v>40</v>
      </c>
      <c r="G63" t="s">
        <v>207</v>
      </c>
      <c r="H63">
        <v>1</v>
      </c>
      <c r="I63">
        <v>42500</v>
      </c>
      <c r="J63">
        <v>0.08</v>
      </c>
      <c r="K63">
        <v>39100</v>
      </c>
      <c r="L63">
        <f>Table3_1[[#This Row],[Quantity]]*Table3_1[[#This Row],[Unit_Price]]</f>
        <v>42500</v>
      </c>
      <c r="M63" t="s">
        <v>211</v>
      </c>
      <c r="N63">
        <f>YEAR(Table3_1[[#This Row],[Order_Date]])</f>
        <v>2024</v>
      </c>
      <c r="O63" t="str">
        <f>TEXT(Table3_1[[#This Row],[Order_Date]],"mmm")</f>
        <v>Mar</v>
      </c>
      <c r="P63" t="str">
        <f>TEXT(Table3_1[[#This Row],[Order_Date]],"yyyy-mm")</f>
        <v>2024-03</v>
      </c>
      <c r="Q63">
        <f>1</f>
        <v>1</v>
      </c>
      <c r="R63">
        <f>Table3_1[[#This Row],[Quantity]]*Table3_1[[#This Row],[Unit_Price]]*Table3_1[[#This Row],[Discount]]</f>
        <v>3400</v>
      </c>
      <c r="S63" t="str">
        <f>IF(Table3_1[[#This Row],[Final_sales]]&gt;=50000,"High Value",IF(Table3_1[[#This Row],[Final_sales]]&lt;=25000,"Medium Value","Low Value"))</f>
        <v>Low Value</v>
      </c>
    </row>
    <row r="64" spans="1:19" x14ac:dyDescent="0.3">
      <c r="A64" t="s">
        <v>120</v>
      </c>
      <c r="B64" s="3">
        <v>45354</v>
      </c>
      <c r="C64" t="s">
        <v>42</v>
      </c>
      <c r="D64" t="s">
        <v>209</v>
      </c>
      <c r="E64" t="s">
        <v>210</v>
      </c>
      <c r="F64" t="s">
        <v>35</v>
      </c>
      <c r="G64" t="s">
        <v>206</v>
      </c>
      <c r="H64">
        <v>1</v>
      </c>
      <c r="I64">
        <v>14500</v>
      </c>
      <c r="J64">
        <v>0</v>
      </c>
      <c r="K64">
        <v>14500</v>
      </c>
      <c r="L64">
        <f>Table3_1[[#This Row],[Quantity]]*Table3_1[[#This Row],[Unit_Price]]</f>
        <v>14500</v>
      </c>
      <c r="M64" t="s">
        <v>211</v>
      </c>
      <c r="N64">
        <f>YEAR(Table3_1[[#This Row],[Order_Date]])</f>
        <v>2024</v>
      </c>
      <c r="O64" t="str">
        <f>TEXT(Table3_1[[#This Row],[Order_Date]],"mmm")</f>
        <v>Mar</v>
      </c>
      <c r="P64" t="str">
        <f>TEXT(Table3_1[[#This Row],[Order_Date]],"yyyy-mm")</f>
        <v>2024-03</v>
      </c>
      <c r="Q64">
        <f>1</f>
        <v>1</v>
      </c>
      <c r="R64">
        <f>Table3_1[[#This Row],[Quantity]]*Table3_1[[#This Row],[Unit_Price]]*Table3_1[[#This Row],[Discount]]</f>
        <v>0</v>
      </c>
      <c r="S64" t="str">
        <f>IF(Table3_1[[#This Row],[Final_sales]]&gt;=50000,"High Value",IF(Table3_1[[#This Row],[Final_sales]]&lt;=25000,"Medium Value","Low Value"))</f>
        <v>Medium Value</v>
      </c>
    </row>
    <row r="65" spans="1:19" x14ac:dyDescent="0.3">
      <c r="A65" t="s">
        <v>121</v>
      </c>
      <c r="B65" s="3">
        <v>45355</v>
      </c>
      <c r="C65" t="s">
        <v>22</v>
      </c>
      <c r="D65" t="s">
        <v>215</v>
      </c>
      <c r="E65" t="s">
        <v>216</v>
      </c>
      <c r="F65" t="s">
        <v>43</v>
      </c>
      <c r="G65" t="s">
        <v>16</v>
      </c>
      <c r="H65">
        <v>2</v>
      </c>
      <c r="I65">
        <v>58500</v>
      </c>
      <c r="J65">
        <v>0.1</v>
      </c>
      <c r="K65">
        <v>105300</v>
      </c>
      <c r="L65">
        <f>Table3_1[[#This Row],[Quantity]]*Table3_1[[#This Row],[Unit_Price]]</f>
        <v>117000</v>
      </c>
      <c r="M65" t="s">
        <v>211</v>
      </c>
      <c r="N65">
        <f>YEAR(Table3_1[[#This Row],[Order_Date]])</f>
        <v>2024</v>
      </c>
      <c r="O65" t="str">
        <f>TEXT(Table3_1[[#This Row],[Order_Date]],"mmm")</f>
        <v>Mar</v>
      </c>
      <c r="P65" t="str">
        <f>TEXT(Table3_1[[#This Row],[Order_Date]],"yyyy-mm")</f>
        <v>2024-03</v>
      </c>
      <c r="Q65">
        <f>1</f>
        <v>1</v>
      </c>
      <c r="R65">
        <f>Table3_1[[#This Row],[Quantity]]*Table3_1[[#This Row],[Unit_Price]]*Table3_1[[#This Row],[Discount]]</f>
        <v>11700</v>
      </c>
      <c r="S65" t="str">
        <f>IF(Table3_1[[#This Row],[Final_sales]]&gt;=50000,"High Value",IF(Table3_1[[#This Row],[Final_sales]]&lt;=25000,"Medium Value","Low Value"))</f>
        <v>High Value</v>
      </c>
    </row>
    <row r="66" spans="1:19" x14ac:dyDescent="0.3">
      <c r="A66" t="s">
        <v>122</v>
      </c>
      <c r="B66" s="3">
        <v>45356</v>
      </c>
      <c r="C66" t="s">
        <v>48</v>
      </c>
      <c r="D66" t="s">
        <v>223</v>
      </c>
      <c r="E66" t="s">
        <v>220</v>
      </c>
      <c r="F66" t="s">
        <v>20</v>
      </c>
      <c r="G66" t="s">
        <v>16</v>
      </c>
      <c r="H66">
        <v>3</v>
      </c>
      <c r="I66">
        <v>15800</v>
      </c>
      <c r="J66">
        <v>0.05</v>
      </c>
      <c r="K66">
        <v>45030</v>
      </c>
      <c r="L66">
        <f>Table3_1[[#This Row],[Quantity]]*Table3_1[[#This Row],[Unit_Price]]</f>
        <v>47400</v>
      </c>
      <c r="M66" t="s">
        <v>211</v>
      </c>
      <c r="N66">
        <f>YEAR(Table3_1[[#This Row],[Order_Date]])</f>
        <v>2024</v>
      </c>
      <c r="O66" t="str">
        <f>TEXT(Table3_1[[#This Row],[Order_Date]],"mmm")</f>
        <v>Mar</v>
      </c>
      <c r="P66" t="str">
        <f>TEXT(Table3_1[[#This Row],[Order_Date]],"yyyy-mm")</f>
        <v>2024-03</v>
      </c>
      <c r="Q66">
        <f>1</f>
        <v>1</v>
      </c>
      <c r="R66">
        <f>Table3_1[[#This Row],[Quantity]]*Table3_1[[#This Row],[Unit_Price]]*Table3_1[[#This Row],[Discount]]</f>
        <v>2370</v>
      </c>
      <c r="S66" t="str">
        <f>IF(Table3_1[[#This Row],[Final_sales]]&gt;=50000,"High Value",IF(Table3_1[[#This Row],[Final_sales]]&lt;=25000,"Medium Value","Low Value"))</f>
        <v>Low Value</v>
      </c>
    </row>
    <row r="67" spans="1:19" x14ac:dyDescent="0.3">
      <c r="A67" t="s">
        <v>123</v>
      </c>
      <c r="B67" s="3">
        <v>45357</v>
      </c>
      <c r="C67" t="s">
        <v>60</v>
      </c>
      <c r="D67" t="s">
        <v>217</v>
      </c>
      <c r="E67" t="s">
        <v>218</v>
      </c>
      <c r="F67" t="s">
        <v>25</v>
      </c>
      <c r="G67" t="s">
        <v>206</v>
      </c>
      <c r="H67">
        <v>1</v>
      </c>
      <c r="I67">
        <v>47000</v>
      </c>
      <c r="J67">
        <v>0.1</v>
      </c>
      <c r="K67">
        <v>42300</v>
      </c>
      <c r="L67">
        <f>Table3_1[[#This Row],[Quantity]]*Table3_1[[#This Row],[Unit_Price]]</f>
        <v>47000</v>
      </c>
      <c r="M67" t="s">
        <v>211</v>
      </c>
      <c r="N67">
        <f>YEAR(Table3_1[[#This Row],[Order_Date]])</f>
        <v>2024</v>
      </c>
      <c r="O67" t="str">
        <f>TEXT(Table3_1[[#This Row],[Order_Date]],"mmm")</f>
        <v>Mar</v>
      </c>
      <c r="P67" t="str">
        <f>TEXT(Table3_1[[#This Row],[Order_Date]],"yyyy-mm")</f>
        <v>2024-03</v>
      </c>
      <c r="Q67">
        <f>1</f>
        <v>1</v>
      </c>
      <c r="R67">
        <f>Table3_1[[#This Row],[Quantity]]*Table3_1[[#This Row],[Unit_Price]]*Table3_1[[#This Row],[Discount]]</f>
        <v>4700</v>
      </c>
      <c r="S67" t="str">
        <f>IF(Table3_1[[#This Row],[Final_sales]]&gt;=50000,"High Value",IF(Table3_1[[#This Row],[Final_sales]]&lt;=25000,"Medium Value","Low Value"))</f>
        <v>Low Value</v>
      </c>
    </row>
    <row r="68" spans="1:19" x14ac:dyDescent="0.3">
      <c r="A68" t="s">
        <v>124</v>
      </c>
      <c r="B68" s="3">
        <v>45358</v>
      </c>
      <c r="C68" t="s">
        <v>42</v>
      </c>
      <c r="D68" t="s">
        <v>222</v>
      </c>
      <c r="E68" t="s">
        <v>212</v>
      </c>
      <c r="F68" t="s">
        <v>40</v>
      </c>
      <c r="G68" t="s">
        <v>207</v>
      </c>
      <c r="H68">
        <v>1</v>
      </c>
      <c r="I68">
        <v>41000</v>
      </c>
      <c r="J68">
        <v>0.05</v>
      </c>
      <c r="K68">
        <v>38950</v>
      </c>
      <c r="L68">
        <f>Table3_1[[#This Row],[Quantity]]*Table3_1[[#This Row],[Unit_Price]]</f>
        <v>41000</v>
      </c>
      <c r="M68" t="s">
        <v>211</v>
      </c>
      <c r="N68">
        <f>YEAR(Table3_1[[#This Row],[Order_Date]])</f>
        <v>2024</v>
      </c>
      <c r="O68" t="str">
        <f>TEXT(Table3_1[[#This Row],[Order_Date]],"mmm")</f>
        <v>Mar</v>
      </c>
      <c r="P68" t="str">
        <f>TEXT(Table3_1[[#This Row],[Order_Date]],"yyyy-mm")</f>
        <v>2024-03</v>
      </c>
      <c r="Q68">
        <f>1</f>
        <v>1</v>
      </c>
      <c r="R68">
        <f>Table3_1[[#This Row],[Quantity]]*Table3_1[[#This Row],[Unit_Price]]*Table3_1[[#This Row],[Discount]]</f>
        <v>2050</v>
      </c>
      <c r="S68" t="str">
        <f>IF(Table3_1[[#This Row],[Final_sales]]&gt;=50000,"High Value",IF(Table3_1[[#This Row],[Final_sales]]&lt;=25000,"Medium Value","Low Value"))</f>
        <v>Low Value</v>
      </c>
    </row>
    <row r="69" spans="1:19" x14ac:dyDescent="0.3">
      <c r="A69" t="s">
        <v>125</v>
      </c>
      <c r="B69" s="3">
        <v>45359</v>
      </c>
      <c r="C69" t="s">
        <v>22</v>
      </c>
      <c r="D69" t="s">
        <v>213</v>
      </c>
      <c r="E69" t="s">
        <v>214</v>
      </c>
      <c r="F69" t="s">
        <v>30</v>
      </c>
      <c r="G69" t="s">
        <v>206</v>
      </c>
      <c r="H69">
        <v>2</v>
      </c>
      <c r="I69">
        <v>28500</v>
      </c>
      <c r="J69">
        <v>0.08</v>
      </c>
      <c r="K69">
        <v>52440</v>
      </c>
      <c r="L69">
        <f>Table3_1[[#This Row],[Quantity]]*Table3_1[[#This Row],[Unit_Price]]</f>
        <v>57000</v>
      </c>
      <c r="M69" t="s">
        <v>211</v>
      </c>
      <c r="N69">
        <f>YEAR(Table3_1[[#This Row],[Order_Date]])</f>
        <v>2024</v>
      </c>
      <c r="O69" t="str">
        <f>TEXT(Table3_1[[#This Row],[Order_Date]],"mmm")</f>
        <v>Mar</v>
      </c>
      <c r="P69" t="str">
        <f>TEXT(Table3_1[[#This Row],[Order_Date]],"yyyy-mm")</f>
        <v>2024-03</v>
      </c>
      <c r="Q69">
        <f>1</f>
        <v>1</v>
      </c>
      <c r="R69">
        <f>Table3_1[[#This Row],[Quantity]]*Table3_1[[#This Row],[Unit_Price]]*Table3_1[[#This Row],[Discount]]</f>
        <v>4560</v>
      </c>
      <c r="S69" t="str">
        <f>IF(Table3_1[[#This Row],[Final_sales]]&gt;=50000,"High Value",IF(Table3_1[[#This Row],[Final_sales]]&lt;=25000,"Medium Value","Low Value"))</f>
        <v>High Value</v>
      </c>
    </row>
    <row r="70" spans="1:19" x14ac:dyDescent="0.3">
      <c r="A70" t="s">
        <v>126</v>
      </c>
      <c r="B70" s="3">
        <v>45360</v>
      </c>
      <c r="C70" t="s">
        <v>60</v>
      </c>
      <c r="D70" t="s">
        <v>221</v>
      </c>
      <c r="E70" t="s">
        <v>218</v>
      </c>
      <c r="F70" t="s">
        <v>43</v>
      </c>
      <c r="G70" t="s">
        <v>16</v>
      </c>
      <c r="H70">
        <v>1</v>
      </c>
      <c r="I70">
        <v>56500</v>
      </c>
      <c r="J70">
        <v>0.12</v>
      </c>
      <c r="K70">
        <v>49720</v>
      </c>
      <c r="L70">
        <f>Table3_1[[#This Row],[Quantity]]*Table3_1[[#This Row],[Unit_Price]]</f>
        <v>56500</v>
      </c>
      <c r="M70" t="s">
        <v>211</v>
      </c>
      <c r="N70">
        <f>YEAR(Table3_1[[#This Row],[Order_Date]])</f>
        <v>2024</v>
      </c>
      <c r="O70" t="str">
        <f>TEXT(Table3_1[[#This Row],[Order_Date]],"mmm")</f>
        <v>Mar</v>
      </c>
      <c r="P70" t="str">
        <f>TEXT(Table3_1[[#This Row],[Order_Date]],"yyyy-mm")</f>
        <v>2024-03</v>
      </c>
      <c r="Q70">
        <f>1</f>
        <v>1</v>
      </c>
      <c r="R70">
        <f>Table3_1[[#This Row],[Quantity]]*Table3_1[[#This Row],[Unit_Price]]*Table3_1[[#This Row],[Discount]]</f>
        <v>6780</v>
      </c>
      <c r="S70" t="str">
        <f>IF(Table3_1[[#This Row],[Final_sales]]&gt;=50000,"High Value",IF(Table3_1[[#This Row],[Final_sales]]&lt;=25000,"Medium Value","Low Value"))</f>
        <v>Low Value</v>
      </c>
    </row>
    <row r="71" spans="1:19" x14ac:dyDescent="0.3">
      <c r="A71" t="s">
        <v>127</v>
      </c>
      <c r="B71" s="3">
        <v>45361</v>
      </c>
      <c r="C71" t="s">
        <v>48</v>
      </c>
      <c r="D71" t="s">
        <v>223</v>
      </c>
      <c r="E71" t="s">
        <v>220</v>
      </c>
      <c r="F71" t="s">
        <v>15</v>
      </c>
      <c r="G71" t="s">
        <v>16</v>
      </c>
      <c r="H71">
        <v>2</v>
      </c>
      <c r="I71">
        <v>33500</v>
      </c>
      <c r="J71">
        <v>0.1</v>
      </c>
      <c r="K71">
        <v>60300</v>
      </c>
      <c r="L71">
        <f>Table3_1[[#This Row],[Quantity]]*Table3_1[[#This Row],[Unit_Price]]</f>
        <v>67000</v>
      </c>
      <c r="M71" t="s">
        <v>211</v>
      </c>
      <c r="N71">
        <f>YEAR(Table3_1[[#This Row],[Order_Date]])</f>
        <v>2024</v>
      </c>
      <c r="O71" t="str">
        <f>TEXT(Table3_1[[#This Row],[Order_Date]],"mmm")</f>
        <v>Mar</v>
      </c>
      <c r="P71" t="str">
        <f>TEXT(Table3_1[[#This Row],[Order_Date]],"yyyy-mm")</f>
        <v>2024-03</v>
      </c>
      <c r="Q71">
        <f>1</f>
        <v>1</v>
      </c>
      <c r="R71">
        <f>Table3_1[[#This Row],[Quantity]]*Table3_1[[#This Row],[Unit_Price]]*Table3_1[[#This Row],[Discount]]</f>
        <v>6700</v>
      </c>
      <c r="S71" t="str">
        <f>IF(Table3_1[[#This Row],[Final_sales]]&gt;=50000,"High Value",IF(Table3_1[[#This Row],[Final_sales]]&lt;=25000,"Medium Value","Low Value"))</f>
        <v>High Value</v>
      </c>
    </row>
    <row r="72" spans="1:19" x14ac:dyDescent="0.3">
      <c r="A72" t="s">
        <v>128</v>
      </c>
      <c r="B72" s="3">
        <v>45362</v>
      </c>
      <c r="C72" t="s">
        <v>42</v>
      </c>
      <c r="D72" t="s">
        <v>209</v>
      </c>
      <c r="E72" t="s">
        <v>210</v>
      </c>
      <c r="F72" t="s">
        <v>25</v>
      </c>
      <c r="G72" t="s">
        <v>206</v>
      </c>
      <c r="H72">
        <v>1</v>
      </c>
      <c r="I72">
        <v>45500</v>
      </c>
      <c r="J72">
        <v>0</v>
      </c>
      <c r="K72">
        <v>45500</v>
      </c>
      <c r="L72">
        <f>Table3_1[[#This Row],[Quantity]]*Table3_1[[#This Row],[Unit_Price]]</f>
        <v>45500</v>
      </c>
      <c r="M72" t="s">
        <v>211</v>
      </c>
      <c r="N72">
        <f>YEAR(Table3_1[[#This Row],[Order_Date]])</f>
        <v>2024</v>
      </c>
      <c r="O72" t="str">
        <f>TEXT(Table3_1[[#This Row],[Order_Date]],"mmm")</f>
        <v>Mar</v>
      </c>
      <c r="P72" t="str">
        <f>TEXT(Table3_1[[#This Row],[Order_Date]],"yyyy-mm")</f>
        <v>2024-03</v>
      </c>
      <c r="Q72">
        <f>1</f>
        <v>1</v>
      </c>
      <c r="R72">
        <f>Table3_1[[#This Row],[Quantity]]*Table3_1[[#This Row],[Unit_Price]]*Table3_1[[#This Row],[Discount]]</f>
        <v>0</v>
      </c>
      <c r="S72" t="str">
        <f>IF(Table3_1[[#This Row],[Final_sales]]&gt;=50000,"High Value",IF(Table3_1[[#This Row],[Final_sales]]&lt;=25000,"Medium Value","Low Value"))</f>
        <v>Low Value</v>
      </c>
    </row>
    <row r="73" spans="1:19" x14ac:dyDescent="0.3">
      <c r="A73" t="s">
        <v>129</v>
      </c>
      <c r="B73" s="3">
        <v>45363</v>
      </c>
      <c r="C73" t="s">
        <v>22</v>
      </c>
      <c r="D73" t="s">
        <v>227</v>
      </c>
      <c r="E73" t="s">
        <v>214</v>
      </c>
      <c r="F73" t="s">
        <v>20</v>
      </c>
      <c r="G73" t="s">
        <v>16</v>
      </c>
      <c r="H73">
        <v>2</v>
      </c>
      <c r="I73">
        <v>15200</v>
      </c>
      <c r="J73">
        <v>0.05</v>
      </c>
      <c r="K73">
        <v>28880</v>
      </c>
      <c r="L73">
        <f>Table3_1[[#This Row],[Quantity]]*Table3_1[[#This Row],[Unit_Price]]</f>
        <v>30400</v>
      </c>
      <c r="M73" t="s">
        <v>211</v>
      </c>
      <c r="N73">
        <f>YEAR(Table3_1[[#This Row],[Order_Date]])</f>
        <v>2024</v>
      </c>
      <c r="O73" t="str">
        <f>TEXT(Table3_1[[#This Row],[Order_Date]],"mmm")</f>
        <v>Mar</v>
      </c>
      <c r="P73" t="str">
        <f>TEXT(Table3_1[[#This Row],[Order_Date]],"yyyy-mm")</f>
        <v>2024-03</v>
      </c>
      <c r="Q73">
        <f>1</f>
        <v>1</v>
      </c>
      <c r="R73">
        <f>Table3_1[[#This Row],[Quantity]]*Table3_1[[#This Row],[Unit_Price]]*Table3_1[[#This Row],[Discount]]</f>
        <v>1520</v>
      </c>
      <c r="S73" t="str">
        <f>IF(Table3_1[[#This Row],[Final_sales]]&gt;=50000,"High Value",IF(Table3_1[[#This Row],[Final_sales]]&lt;=25000,"Medium Value","Low Value"))</f>
        <v>Low Value</v>
      </c>
    </row>
    <row r="74" spans="1:19" x14ac:dyDescent="0.3">
      <c r="A74" t="s">
        <v>130</v>
      </c>
      <c r="B74" s="3">
        <v>45364</v>
      </c>
      <c r="C74" t="s">
        <v>60</v>
      </c>
      <c r="D74" t="s">
        <v>228</v>
      </c>
      <c r="E74" t="s">
        <v>218</v>
      </c>
      <c r="F74" t="s">
        <v>35</v>
      </c>
      <c r="G74" t="s">
        <v>206</v>
      </c>
      <c r="H74">
        <v>1</v>
      </c>
      <c r="I74">
        <v>13800</v>
      </c>
      <c r="J74">
        <v>0.05</v>
      </c>
      <c r="K74">
        <v>13110</v>
      </c>
      <c r="L74">
        <f>Table3_1[[#This Row],[Quantity]]*Table3_1[[#This Row],[Unit_Price]]</f>
        <v>13800</v>
      </c>
      <c r="M74" t="s">
        <v>211</v>
      </c>
      <c r="N74">
        <f>YEAR(Table3_1[[#This Row],[Order_Date]])</f>
        <v>2024</v>
      </c>
      <c r="O74" t="str">
        <f>TEXT(Table3_1[[#This Row],[Order_Date]],"mmm")</f>
        <v>Mar</v>
      </c>
      <c r="P74" t="str">
        <f>TEXT(Table3_1[[#This Row],[Order_Date]],"yyyy-mm")</f>
        <v>2024-03</v>
      </c>
      <c r="Q74">
        <f>1</f>
        <v>1</v>
      </c>
      <c r="R74">
        <f>Table3_1[[#This Row],[Quantity]]*Table3_1[[#This Row],[Unit_Price]]*Table3_1[[#This Row],[Discount]]</f>
        <v>690</v>
      </c>
      <c r="S74" t="str">
        <f>IF(Table3_1[[#This Row],[Final_sales]]&gt;=50000,"High Value",IF(Table3_1[[#This Row],[Final_sales]]&lt;=25000,"Medium Value","Low Value"))</f>
        <v>Medium Value</v>
      </c>
    </row>
    <row r="75" spans="1:19" x14ac:dyDescent="0.3">
      <c r="A75" t="s">
        <v>131</v>
      </c>
      <c r="B75" s="3">
        <v>45365</v>
      </c>
      <c r="C75" t="s">
        <v>48</v>
      </c>
      <c r="D75" t="s">
        <v>229</v>
      </c>
      <c r="E75" t="s">
        <v>220</v>
      </c>
      <c r="F75" t="s">
        <v>43</v>
      </c>
      <c r="G75" t="s">
        <v>16</v>
      </c>
      <c r="H75">
        <v>1</v>
      </c>
      <c r="I75">
        <v>62000</v>
      </c>
      <c r="J75">
        <v>0.1</v>
      </c>
      <c r="K75">
        <v>55800</v>
      </c>
      <c r="L75">
        <f>Table3_1[[#This Row],[Quantity]]*Table3_1[[#This Row],[Unit_Price]]</f>
        <v>62000</v>
      </c>
      <c r="M75" t="s">
        <v>211</v>
      </c>
      <c r="N75">
        <f>YEAR(Table3_1[[#This Row],[Order_Date]])</f>
        <v>2024</v>
      </c>
      <c r="O75" t="str">
        <f>TEXT(Table3_1[[#This Row],[Order_Date]],"mmm")</f>
        <v>Mar</v>
      </c>
      <c r="P75" t="str">
        <f>TEXT(Table3_1[[#This Row],[Order_Date]],"yyyy-mm")</f>
        <v>2024-03</v>
      </c>
      <c r="Q75">
        <f>1</f>
        <v>1</v>
      </c>
      <c r="R75">
        <f>Table3_1[[#This Row],[Quantity]]*Table3_1[[#This Row],[Unit_Price]]*Table3_1[[#This Row],[Discount]]</f>
        <v>6200</v>
      </c>
      <c r="S75" t="str">
        <f>IF(Table3_1[[#This Row],[Final_sales]]&gt;=50000,"High Value",IF(Table3_1[[#This Row],[Final_sales]]&lt;=25000,"Medium Value","Low Value"))</f>
        <v>High Value</v>
      </c>
    </row>
    <row r="76" spans="1:19" x14ac:dyDescent="0.3">
      <c r="A76" t="s">
        <v>132</v>
      </c>
      <c r="B76" s="3">
        <v>45366</v>
      </c>
      <c r="C76" t="s">
        <v>42</v>
      </c>
      <c r="D76" t="s">
        <v>225</v>
      </c>
      <c r="E76" t="s">
        <v>212</v>
      </c>
      <c r="F76" t="s">
        <v>15</v>
      </c>
      <c r="G76" t="s">
        <v>16</v>
      </c>
      <c r="H76">
        <v>1</v>
      </c>
      <c r="I76">
        <v>36000</v>
      </c>
      <c r="J76">
        <v>0.1</v>
      </c>
      <c r="K76">
        <v>32400</v>
      </c>
      <c r="L76">
        <f>Table3_1[[#This Row],[Quantity]]*Table3_1[[#This Row],[Unit_Price]]</f>
        <v>36000</v>
      </c>
      <c r="M76" t="s">
        <v>211</v>
      </c>
      <c r="N76">
        <f>YEAR(Table3_1[[#This Row],[Order_Date]])</f>
        <v>2024</v>
      </c>
      <c r="O76" t="str">
        <f>TEXT(Table3_1[[#This Row],[Order_Date]],"mmm")</f>
        <v>Mar</v>
      </c>
      <c r="P76" t="str">
        <f>TEXT(Table3_1[[#This Row],[Order_Date]],"yyyy-mm")</f>
        <v>2024-03</v>
      </c>
      <c r="Q76">
        <f>1</f>
        <v>1</v>
      </c>
      <c r="R76">
        <f>Table3_1[[#This Row],[Quantity]]*Table3_1[[#This Row],[Unit_Price]]*Table3_1[[#This Row],[Discount]]</f>
        <v>3600</v>
      </c>
      <c r="S76" t="str">
        <f>IF(Table3_1[[#This Row],[Final_sales]]&gt;=50000,"High Value",IF(Table3_1[[#This Row],[Final_sales]]&lt;=25000,"Medium Value","Low Value"))</f>
        <v>Low Value</v>
      </c>
    </row>
    <row r="77" spans="1:19" x14ac:dyDescent="0.3">
      <c r="A77" t="s">
        <v>133</v>
      </c>
      <c r="B77" s="3">
        <v>45367</v>
      </c>
      <c r="C77" t="s">
        <v>22</v>
      </c>
      <c r="D77" t="s">
        <v>238</v>
      </c>
      <c r="E77" t="s">
        <v>214</v>
      </c>
      <c r="F77" t="s">
        <v>40</v>
      </c>
      <c r="G77" t="s">
        <v>207</v>
      </c>
      <c r="H77">
        <v>1</v>
      </c>
      <c r="I77">
        <v>40500</v>
      </c>
      <c r="J77">
        <v>0.05</v>
      </c>
      <c r="K77">
        <v>38475</v>
      </c>
      <c r="L77">
        <f>Table3_1[[#This Row],[Quantity]]*Table3_1[[#This Row],[Unit_Price]]</f>
        <v>40500</v>
      </c>
      <c r="M77" t="s">
        <v>211</v>
      </c>
      <c r="N77">
        <f>YEAR(Table3_1[[#This Row],[Order_Date]])</f>
        <v>2024</v>
      </c>
      <c r="O77" t="str">
        <f>TEXT(Table3_1[[#This Row],[Order_Date]],"mmm")</f>
        <v>Mar</v>
      </c>
      <c r="P77" t="str">
        <f>TEXT(Table3_1[[#This Row],[Order_Date]],"yyyy-mm")</f>
        <v>2024-03</v>
      </c>
      <c r="Q77">
        <f>1</f>
        <v>1</v>
      </c>
      <c r="R77">
        <f>Table3_1[[#This Row],[Quantity]]*Table3_1[[#This Row],[Unit_Price]]*Table3_1[[#This Row],[Discount]]</f>
        <v>2025</v>
      </c>
      <c r="S77" t="str">
        <f>IF(Table3_1[[#This Row],[Final_sales]]&gt;=50000,"High Value",IF(Table3_1[[#This Row],[Final_sales]]&lt;=25000,"Medium Value","Low Value"))</f>
        <v>Low Value</v>
      </c>
    </row>
    <row r="78" spans="1:19" x14ac:dyDescent="0.3">
      <c r="A78" t="s">
        <v>135</v>
      </c>
      <c r="B78" s="3">
        <v>45368</v>
      </c>
      <c r="C78" t="s">
        <v>60</v>
      </c>
      <c r="D78" t="s">
        <v>234</v>
      </c>
      <c r="E78" t="s">
        <v>218</v>
      </c>
      <c r="F78" t="s">
        <v>30</v>
      </c>
      <c r="G78" t="s">
        <v>206</v>
      </c>
      <c r="H78">
        <v>2</v>
      </c>
      <c r="I78">
        <v>25500</v>
      </c>
      <c r="J78">
        <v>0.1</v>
      </c>
      <c r="K78">
        <v>45900</v>
      </c>
      <c r="L78">
        <f>Table3_1[[#This Row],[Quantity]]*Table3_1[[#This Row],[Unit_Price]]</f>
        <v>51000</v>
      </c>
      <c r="M78" t="s">
        <v>211</v>
      </c>
      <c r="N78">
        <f>YEAR(Table3_1[[#This Row],[Order_Date]])</f>
        <v>2024</v>
      </c>
      <c r="O78" t="str">
        <f>TEXT(Table3_1[[#This Row],[Order_Date]],"mmm")</f>
        <v>Mar</v>
      </c>
      <c r="P78" t="str">
        <f>TEXT(Table3_1[[#This Row],[Order_Date]],"yyyy-mm")</f>
        <v>2024-03</v>
      </c>
      <c r="Q78">
        <f>1</f>
        <v>1</v>
      </c>
      <c r="R78">
        <f>Table3_1[[#This Row],[Quantity]]*Table3_1[[#This Row],[Unit_Price]]*Table3_1[[#This Row],[Discount]]</f>
        <v>5100</v>
      </c>
      <c r="S78" t="str">
        <f>IF(Table3_1[[#This Row],[Final_sales]]&gt;=50000,"High Value",IF(Table3_1[[#This Row],[Final_sales]]&lt;=25000,"Medium Value","Low Value"))</f>
        <v>Low Value</v>
      </c>
    </row>
    <row r="79" spans="1:19" x14ac:dyDescent="0.3">
      <c r="A79" t="s">
        <v>136</v>
      </c>
      <c r="B79" s="3">
        <v>45369</v>
      </c>
      <c r="C79" t="s">
        <v>48</v>
      </c>
      <c r="D79" t="s">
        <v>233</v>
      </c>
      <c r="E79" t="s">
        <v>220</v>
      </c>
      <c r="F79" t="s">
        <v>20</v>
      </c>
      <c r="G79" t="s">
        <v>16</v>
      </c>
      <c r="H79">
        <v>2</v>
      </c>
      <c r="I79">
        <v>16800</v>
      </c>
      <c r="J79">
        <v>0</v>
      </c>
      <c r="K79">
        <v>33600</v>
      </c>
      <c r="L79">
        <f>Table3_1[[#This Row],[Quantity]]*Table3_1[[#This Row],[Unit_Price]]</f>
        <v>33600</v>
      </c>
      <c r="M79" t="s">
        <v>211</v>
      </c>
      <c r="N79">
        <f>YEAR(Table3_1[[#This Row],[Order_Date]])</f>
        <v>2024</v>
      </c>
      <c r="O79" t="str">
        <f>TEXT(Table3_1[[#This Row],[Order_Date]],"mmm")</f>
        <v>Mar</v>
      </c>
      <c r="P79" t="str">
        <f>TEXT(Table3_1[[#This Row],[Order_Date]],"yyyy-mm")</f>
        <v>2024-03</v>
      </c>
      <c r="Q79">
        <f>1</f>
        <v>1</v>
      </c>
      <c r="R79">
        <f>Table3_1[[#This Row],[Quantity]]*Table3_1[[#This Row],[Unit_Price]]*Table3_1[[#This Row],[Discount]]</f>
        <v>0</v>
      </c>
      <c r="S79" t="str">
        <f>IF(Table3_1[[#This Row],[Final_sales]]&gt;=50000,"High Value",IF(Table3_1[[#This Row],[Final_sales]]&lt;=25000,"Medium Value","Low Value"))</f>
        <v>Low Value</v>
      </c>
    </row>
    <row r="80" spans="1:19" x14ac:dyDescent="0.3">
      <c r="A80" t="s">
        <v>137</v>
      </c>
      <c r="B80" s="3">
        <v>45370</v>
      </c>
      <c r="C80" t="s">
        <v>42</v>
      </c>
      <c r="D80" t="s">
        <v>209</v>
      </c>
      <c r="E80" t="s">
        <v>210</v>
      </c>
      <c r="F80" t="s">
        <v>43</v>
      </c>
      <c r="G80" t="s">
        <v>16</v>
      </c>
      <c r="H80">
        <v>1</v>
      </c>
      <c r="I80">
        <v>61000</v>
      </c>
      <c r="J80">
        <v>0.12</v>
      </c>
      <c r="K80">
        <v>53680</v>
      </c>
      <c r="L80">
        <f>Table3_1[[#This Row],[Quantity]]*Table3_1[[#This Row],[Unit_Price]]</f>
        <v>61000</v>
      </c>
      <c r="M80" t="s">
        <v>211</v>
      </c>
      <c r="N80">
        <f>YEAR(Table3_1[[#This Row],[Order_Date]])</f>
        <v>2024</v>
      </c>
      <c r="O80" t="str">
        <f>TEXT(Table3_1[[#This Row],[Order_Date]],"mmm")</f>
        <v>Mar</v>
      </c>
      <c r="P80" t="str">
        <f>TEXT(Table3_1[[#This Row],[Order_Date]],"yyyy-mm")</f>
        <v>2024-03</v>
      </c>
      <c r="Q80">
        <f>1</f>
        <v>1</v>
      </c>
      <c r="R80">
        <f>Table3_1[[#This Row],[Quantity]]*Table3_1[[#This Row],[Unit_Price]]*Table3_1[[#This Row],[Discount]]</f>
        <v>7320</v>
      </c>
      <c r="S80" t="str">
        <f>IF(Table3_1[[#This Row],[Final_sales]]&gt;=50000,"High Value",IF(Table3_1[[#This Row],[Final_sales]]&lt;=25000,"Medium Value","Low Value"))</f>
        <v>High Value</v>
      </c>
    </row>
    <row r="81" spans="1:19" x14ac:dyDescent="0.3">
      <c r="A81" t="s">
        <v>138</v>
      </c>
      <c r="B81" s="3">
        <v>45371</v>
      </c>
      <c r="C81" t="s">
        <v>22</v>
      </c>
      <c r="D81" t="s">
        <v>236</v>
      </c>
      <c r="E81" t="s">
        <v>214</v>
      </c>
      <c r="F81" t="s">
        <v>15</v>
      </c>
      <c r="G81" t="s">
        <v>16</v>
      </c>
      <c r="H81">
        <v>2</v>
      </c>
      <c r="I81">
        <v>32500</v>
      </c>
      <c r="J81">
        <v>0.08</v>
      </c>
      <c r="K81">
        <v>59800</v>
      </c>
      <c r="L81">
        <f>Table3_1[[#This Row],[Quantity]]*Table3_1[[#This Row],[Unit_Price]]</f>
        <v>65000</v>
      </c>
      <c r="M81" t="s">
        <v>211</v>
      </c>
      <c r="N81">
        <f>YEAR(Table3_1[[#This Row],[Order_Date]])</f>
        <v>2024</v>
      </c>
      <c r="O81" t="str">
        <f>TEXT(Table3_1[[#This Row],[Order_Date]],"mmm")</f>
        <v>Mar</v>
      </c>
      <c r="P81" t="str">
        <f>TEXT(Table3_1[[#This Row],[Order_Date]],"yyyy-mm")</f>
        <v>2024-03</v>
      </c>
      <c r="Q81">
        <f>1</f>
        <v>1</v>
      </c>
      <c r="R81">
        <f>Table3_1[[#This Row],[Quantity]]*Table3_1[[#This Row],[Unit_Price]]*Table3_1[[#This Row],[Discount]]</f>
        <v>5200</v>
      </c>
      <c r="S81" t="str">
        <f>IF(Table3_1[[#This Row],[Final_sales]]&gt;=50000,"High Value",IF(Table3_1[[#This Row],[Final_sales]]&lt;=25000,"Medium Value","Low Value"))</f>
        <v>High Value</v>
      </c>
    </row>
    <row r="82" spans="1:19" x14ac:dyDescent="0.3">
      <c r="A82" t="s">
        <v>139</v>
      </c>
      <c r="B82" s="3">
        <v>45372</v>
      </c>
      <c r="C82" t="s">
        <v>60</v>
      </c>
      <c r="D82" t="s">
        <v>239</v>
      </c>
      <c r="E82" t="s">
        <v>218</v>
      </c>
      <c r="F82" t="s">
        <v>20</v>
      </c>
      <c r="G82" t="s">
        <v>16</v>
      </c>
      <c r="H82">
        <v>2</v>
      </c>
      <c r="I82">
        <v>16200</v>
      </c>
      <c r="J82">
        <v>0.05</v>
      </c>
      <c r="K82">
        <v>30780</v>
      </c>
      <c r="L82">
        <f>Table3_1[[#This Row],[Quantity]]*Table3_1[[#This Row],[Unit_Price]]</f>
        <v>32400</v>
      </c>
      <c r="M82" t="s">
        <v>211</v>
      </c>
      <c r="N82">
        <f>YEAR(Table3_1[[#This Row],[Order_Date]])</f>
        <v>2024</v>
      </c>
      <c r="O82" t="str">
        <f>TEXT(Table3_1[[#This Row],[Order_Date]],"mmm")</f>
        <v>Mar</v>
      </c>
      <c r="P82" t="str">
        <f>TEXT(Table3_1[[#This Row],[Order_Date]],"yyyy-mm")</f>
        <v>2024-03</v>
      </c>
      <c r="Q82">
        <f>1</f>
        <v>1</v>
      </c>
      <c r="R82">
        <f>Table3_1[[#This Row],[Quantity]]*Table3_1[[#This Row],[Unit_Price]]*Table3_1[[#This Row],[Discount]]</f>
        <v>1620</v>
      </c>
      <c r="S82" t="str">
        <f>IF(Table3_1[[#This Row],[Final_sales]]&gt;=50000,"High Value",IF(Table3_1[[#This Row],[Final_sales]]&lt;=25000,"Medium Value","Low Value"))</f>
        <v>Low Value</v>
      </c>
    </row>
    <row r="83" spans="1:19" x14ac:dyDescent="0.3">
      <c r="A83" t="s">
        <v>141</v>
      </c>
      <c r="B83" s="3">
        <v>45373</v>
      </c>
      <c r="C83" t="s">
        <v>48</v>
      </c>
      <c r="D83" t="s">
        <v>219</v>
      </c>
      <c r="E83" t="s">
        <v>220</v>
      </c>
      <c r="F83" t="s">
        <v>43</v>
      </c>
      <c r="G83" t="s">
        <v>16</v>
      </c>
      <c r="H83">
        <v>1</v>
      </c>
      <c r="I83">
        <v>62500</v>
      </c>
      <c r="J83">
        <v>0.1</v>
      </c>
      <c r="K83">
        <v>56250</v>
      </c>
      <c r="L83">
        <f>Table3_1[[#This Row],[Quantity]]*Table3_1[[#This Row],[Unit_Price]]</f>
        <v>62500</v>
      </c>
      <c r="M83" t="s">
        <v>211</v>
      </c>
      <c r="N83">
        <f>YEAR(Table3_1[[#This Row],[Order_Date]])</f>
        <v>2024</v>
      </c>
      <c r="O83" t="str">
        <f>TEXT(Table3_1[[#This Row],[Order_Date]],"mmm")</f>
        <v>Mar</v>
      </c>
      <c r="P83" t="str">
        <f>TEXT(Table3_1[[#This Row],[Order_Date]],"yyyy-mm")</f>
        <v>2024-03</v>
      </c>
      <c r="Q83">
        <f>1</f>
        <v>1</v>
      </c>
      <c r="R83">
        <f>Table3_1[[#This Row],[Quantity]]*Table3_1[[#This Row],[Unit_Price]]*Table3_1[[#This Row],[Discount]]</f>
        <v>6250</v>
      </c>
      <c r="S83" t="str">
        <f>IF(Table3_1[[#This Row],[Final_sales]]&gt;=50000,"High Value",IF(Table3_1[[#This Row],[Final_sales]]&lt;=25000,"Medium Value","Low Value"))</f>
        <v>High Value</v>
      </c>
    </row>
    <row r="84" spans="1:19" x14ac:dyDescent="0.3">
      <c r="A84" t="s">
        <v>142</v>
      </c>
      <c r="B84" s="3">
        <v>45374</v>
      </c>
      <c r="C84" t="s">
        <v>42</v>
      </c>
      <c r="D84" t="s">
        <v>209</v>
      </c>
      <c r="E84" t="s">
        <v>210</v>
      </c>
      <c r="F84" t="s">
        <v>30</v>
      </c>
      <c r="G84" t="s">
        <v>206</v>
      </c>
      <c r="H84">
        <v>1</v>
      </c>
      <c r="I84">
        <v>31500</v>
      </c>
      <c r="J84">
        <v>0</v>
      </c>
      <c r="K84">
        <v>31500</v>
      </c>
      <c r="L84">
        <f>Table3_1[[#This Row],[Quantity]]*Table3_1[[#This Row],[Unit_Price]]</f>
        <v>31500</v>
      </c>
      <c r="M84" t="s">
        <v>211</v>
      </c>
      <c r="N84">
        <f>YEAR(Table3_1[[#This Row],[Order_Date]])</f>
        <v>2024</v>
      </c>
      <c r="O84" t="str">
        <f>TEXT(Table3_1[[#This Row],[Order_Date]],"mmm")</f>
        <v>Mar</v>
      </c>
      <c r="P84" t="str">
        <f>TEXT(Table3_1[[#This Row],[Order_Date]],"yyyy-mm")</f>
        <v>2024-03</v>
      </c>
      <c r="Q84">
        <f>1</f>
        <v>1</v>
      </c>
      <c r="R84">
        <f>Table3_1[[#This Row],[Quantity]]*Table3_1[[#This Row],[Unit_Price]]*Table3_1[[#This Row],[Discount]]</f>
        <v>0</v>
      </c>
      <c r="S84" t="str">
        <f>IF(Table3_1[[#This Row],[Final_sales]]&gt;=50000,"High Value",IF(Table3_1[[#This Row],[Final_sales]]&lt;=25000,"Medium Value","Low Value"))</f>
        <v>Low Value</v>
      </c>
    </row>
    <row r="85" spans="1:19" x14ac:dyDescent="0.3">
      <c r="A85" t="s">
        <v>143</v>
      </c>
      <c r="B85" s="3">
        <v>45375</v>
      </c>
      <c r="C85" t="s">
        <v>22</v>
      </c>
      <c r="D85" t="s">
        <v>240</v>
      </c>
      <c r="E85" t="s">
        <v>214</v>
      </c>
      <c r="F85" t="s">
        <v>25</v>
      </c>
      <c r="G85" t="s">
        <v>206</v>
      </c>
      <c r="H85">
        <v>1</v>
      </c>
      <c r="I85">
        <v>48000</v>
      </c>
      <c r="J85">
        <v>0.08</v>
      </c>
      <c r="K85">
        <v>44160</v>
      </c>
      <c r="L85">
        <f>Table3_1[[#This Row],[Quantity]]*Table3_1[[#This Row],[Unit_Price]]</f>
        <v>48000</v>
      </c>
      <c r="M85" t="s">
        <v>211</v>
      </c>
      <c r="N85">
        <f>YEAR(Table3_1[[#This Row],[Order_Date]])</f>
        <v>2024</v>
      </c>
      <c r="O85" t="str">
        <f>TEXT(Table3_1[[#This Row],[Order_Date]],"mmm")</f>
        <v>Mar</v>
      </c>
      <c r="P85" t="str">
        <f>TEXT(Table3_1[[#This Row],[Order_Date]],"yyyy-mm")</f>
        <v>2024-03</v>
      </c>
      <c r="Q85">
        <f>1</f>
        <v>1</v>
      </c>
      <c r="R85">
        <f>Table3_1[[#This Row],[Quantity]]*Table3_1[[#This Row],[Unit_Price]]*Table3_1[[#This Row],[Discount]]</f>
        <v>3840</v>
      </c>
      <c r="S85" t="str">
        <f>IF(Table3_1[[#This Row],[Final_sales]]&gt;=50000,"High Value",IF(Table3_1[[#This Row],[Final_sales]]&lt;=25000,"Medium Value","Low Value"))</f>
        <v>Low Value</v>
      </c>
    </row>
    <row r="86" spans="1:19" x14ac:dyDescent="0.3">
      <c r="A86" t="s">
        <v>145</v>
      </c>
      <c r="B86" s="3">
        <v>45376</v>
      </c>
      <c r="C86" t="s">
        <v>48</v>
      </c>
      <c r="D86" t="s">
        <v>223</v>
      </c>
      <c r="E86" t="s">
        <v>220</v>
      </c>
      <c r="F86" t="s">
        <v>15</v>
      </c>
      <c r="G86" t="s">
        <v>16</v>
      </c>
      <c r="H86">
        <v>2</v>
      </c>
      <c r="I86">
        <v>34500</v>
      </c>
      <c r="J86">
        <v>0.1</v>
      </c>
      <c r="K86">
        <v>62100</v>
      </c>
      <c r="L86">
        <f>Table3_1[[#This Row],[Quantity]]*Table3_1[[#This Row],[Unit_Price]]</f>
        <v>69000</v>
      </c>
      <c r="M86" t="s">
        <v>211</v>
      </c>
      <c r="N86">
        <f>YEAR(Table3_1[[#This Row],[Order_Date]])</f>
        <v>2024</v>
      </c>
      <c r="O86" t="str">
        <f>TEXT(Table3_1[[#This Row],[Order_Date]],"mmm")</f>
        <v>Mar</v>
      </c>
      <c r="P86" t="str">
        <f>TEXT(Table3_1[[#This Row],[Order_Date]],"yyyy-mm")</f>
        <v>2024-03</v>
      </c>
      <c r="Q86">
        <f>1</f>
        <v>1</v>
      </c>
      <c r="R86">
        <f>Table3_1[[#This Row],[Quantity]]*Table3_1[[#This Row],[Unit_Price]]*Table3_1[[#This Row],[Discount]]</f>
        <v>6900</v>
      </c>
      <c r="S86" t="str">
        <f>IF(Table3_1[[#This Row],[Final_sales]]&gt;=50000,"High Value",IF(Table3_1[[#This Row],[Final_sales]]&lt;=25000,"Medium Value","Low Value"))</f>
        <v>High Value</v>
      </c>
    </row>
    <row r="87" spans="1:19" x14ac:dyDescent="0.3">
      <c r="A87" t="s">
        <v>146</v>
      </c>
      <c r="B87" s="3">
        <v>45377</v>
      </c>
      <c r="C87" t="s">
        <v>60</v>
      </c>
      <c r="D87" t="s">
        <v>241</v>
      </c>
      <c r="E87" t="s">
        <v>218</v>
      </c>
      <c r="F87" t="s">
        <v>40</v>
      </c>
      <c r="G87" t="s">
        <v>207</v>
      </c>
      <c r="H87">
        <v>1</v>
      </c>
      <c r="I87">
        <v>43500</v>
      </c>
      <c r="J87">
        <v>0.05</v>
      </c>
      <c r="K87">
        <v>41325</v>
      </c>
      <c r="L87">
        <f>Table3_1[[#This Row],[Quantity]]*Table3_1[[#This Row],[Unit_Price]]</f>
        <v>43500</v>
      </c>
      <c r="M87" t="s">
        <v>211</v>
      </c>
      <c r="N87">
        <f>YEAR(Table3_1[[#This Row],[Order_Date]])</f>
        <v>2024</v>
      </c>
      <c r="O87" t="str">
        <f>TEXT(Table3_1[[#This Row],[Order_Date]],"mmm")</f>
        <v>Mar</v>
      </c>
      <c r="P87" t="str">
        <f>TEXT(Table3_1[[#This Row],[Order_Date]],"yyyy-mm")</f>
        <v>2024-03</v>
      </c>
      <c r="Q87">
        <f>1</f>
        <v>1</v>
      </c>
      <c r="R87">
        <f>Table3_1[[#This Row],[Quantity]]*Table3_1[[#This Row],[Unit_Price]]*Table3_1[[#This Row],[Discount]]</f>
        <v>2175</v>
      </c>
      <c r="S87" t="str">
        <f>IF(Table3_1[[#This Row],[Final_sales]]&gt;=50000,"High Value",IF(Table3_1[[#This Row],[Final_sales]]&lt;=25000,"Medium Value","Low Value"))</f>
        <v>Low Value</v>
      </c>
    </row>
    <row r="88" spans="1:19" x14ac:dyDescent="0.3">
      <c r="A88" t="s">
        <v>148</v>
      </c>
      <c r="B88" s="3">
        <v>45378</v>
      </c>
      <c r="C88" t="s">
        <v>42</v>
      </c>
      <c r="D88" t="s">
        <v>235</v>
      </c>
      <c r="E88" t="s">
        <v>212</v>
      </c>
      <c r="F88" t="s">
        <v>35</v>
      </c>
      <c r="G88" t="s">
        <v>206</v>
      </c>
      <c r="H88">
        <v>1</v>
      </c>
      <c r="I88">
        <v>15000</v>
      </c>
      <c r="J88">
        <v>0</v>
      </c>
      <c r="K88">
        <v>15000</v>
      </c>
      <c r="L88">
        <f>Table3_1[[#This Row],[Quantity]]*Table3_1[[#This Row],[Unit_Price]]</f>
        <v>15000</v>
      </c>
      <c r="M88" t="s">
        <v>211</v>
      </c>
      <c r="N88">
        <f>YEAR(Table3_1[[#This Row],[Order_Date]])</f>
        <v>2024</v>
      </c>
      <c r="O88" t="str">
        <f>TEXT(Table3_1[[#This Row],[Order_Date]],"mmm")</f>
        <v>Mar</v>
      </c>
      <c r="P88" t="str">
        <f>TEXT(Table3_1[[#This Row],[Order_Date]],"yyyy-mm")</f>
        <v>2024-03</v>
      </c>
      <c r="Q88">
        <f>1</f>
        <v>1</v>
      </c>
      <c r="R88">
        <f>Table3_1[[#This Row],[Quantity]]*Table3_1[[#This Row],[Unit_Price]]*Table3_1[[#This Row],[Discount]]</f>
        <v>0</v>
      </c>
      <c r="S88" t="str">
        <f>IF(Table3_1[[#This Row],[Final_sales]]&gt;=50000,"High Value",IF(Table3_1[[#This Row],[Final_sales]]&lt;=25000,"Medium Value","Low Value"))</f>
        <v>Medium Value</v>
      </c>
    </row>
    <row r="89" spans="1:19" x14ac:dyDescent="0.3">
      <c r="A89" t="s">
        <v>149</v>
      </c>
      <c r="B89" s="3">
        <v>45379</v>
      </c>
      <c r="C89" t="s">
        <v>22</v>
      </c>
      <c r="D89" t="s">
        <v>213</v>
      </c>
      <c r="E89" t="s">
        <v>214</v>
      </c>
      <c r="F89" t="s">
        <v>43</v>
      </c>
      <c r="G89" t="s">
        <v>16</v>
      </c>
      <c r="H89">
        <v>2</v>
      </c>
      <c r="I89">
        <v>59500</v>
      </c>
      <c r="J89">
        <v>0.12</v>
      </c>
      <c r="K89">
        <v>104720</v>
      </c>
      <c r="L89">
        <f>Table3_1[[#This Row],[Quantity]]*Table3_1[[#This Row],[Unit_Price]]</f>
        <v>119000</v>
      </c>
      <c r="M89" t="s">
        <v>211</v>
      </c>
      <c r="N89">
        <f>YEAR(Table3_1[[#This Row],[Order_Date]])</f>
        <v>2024</v>
      </c>
      <c r="O89" t="str">
        <f>TEXT(Table3_1[[#This Row],[Order_Date]],"mmm")</f>
        <v>Mar</v>
      </c>
      <c r="P89" t="str">
        <f>TEXT(Table3_1[[#This Row],[Order_Date]],"yyyy-mm")</f>
        <v>2024-03</v>
      </c>
      <c r="Q89">
        <f>1</f>
        <v>1</v>
      </c>
      <c r="R89">
        <f>Table3_1[[#This Row],[Quantity]]*Table3_1[[#This Row],[Unit_Price]]*Table3_1[[#This Row],[Discount]]</f>
        <v>14280</v>
      </c>
      <c r="S89" t="str">
        <f>IF(Table3_1[[#This Row],[Final_sales]]&gt;=50000,"High Value",IF(Table3_1[[#This Row],[Final_sales]]&lt;=25000,"Medium Value","Low Value"))</f>
        <v>High Value</v>
      </c>
    </row>
    <row r="90" spans="1:19" x14ac:dyDescent="0.3">
      <c r="A90" t="s">
        <v>150</v>
      </c>
      <c r="B90" s="3">
        <v>45380</v>
      </c>
      <c r="C90" t="s">
        <v>48</v>
      </c>
      <c r="D90" t="s">
        <v>242</v>
      </c>
      <c r="E90" t="s">
        <v>220</v>
      </c>
      <c r="F90" t="s">
        <v>20</v>
      </c>
      <c r="G90" t="s">
        <v>16</v>
      </c>
      <c r="H90">
        <v>3</v>
      </c>
      <c r="I90">
        <v>15900</v>
      </c>
      <c r="J90">
        <v>0.05</v>
      </c>
      <c r="K90">
        <v>45315</v>
      </c>
      <c r="L90">
        <f>Table3_1[[#This Row],[Quantity]]*Table3_1[[#This Row],[Unit_Price]]</f>
        <v>47700</v>
      </c>
      <c r="M90" t="s">
        <v>211</v>
      </c>
      <c r="N90">
        <f>YEAR(Table3_1[[#This Row],[Order_Date]])</f>
        <v>2024</v>
      </c>
      <c r="O90" t="str">
        <f>TEXT(Table3_1[[#This Row],[Order_Date]],"mmm")</f>
        <v>Mar</v>
      </c>
      <c r="P90" t="str">
        <f>TEXT(Table3_1[[#This Row],[Order_Date]],"yyyy-mm")</f>
        <v>2024-03</v>
      </c>
      <c r="Q90">
        <f>1</f>
        <v>1</v>
      </c>
      <c r="R90">
        <f>Table3_1[[#This Row],[Quantity]]*Table3_1[[#This Row],[Unit_Price]]*Table3_1[[#This Row],[Discount]]</f>
        <v>2385</v>
      </c>
      <c r="S90" t="str">
        <f>IF(Table3_1[[#This Row],[Final_sales]]&gt;=50000,"High Value",IF(Table3_1[[#This Row],[Final_sales]]&lt;=25000,"Medium Value","Low Value"))</f>
        <v>Low Value</v>
      </c>
    </row>
    <row r="91" spans="1:19" x14ac:dyDescent="0.3">
      <c r="A91" t="s">
        <v>152</v>
      </c>
      <c r="B91" s="3">
        <v>45381</v>
      </c>
      <c r="C91" t="s">
        <v>60</v>
      </c>
      <c r="D91" t="s">
        <v>243</v>
      </c>
      <c r="E91" t="s">
        <v>218</v>
      </c>
      <c r="F91" t="s">
        <v>15</v>
      </c>
      <c r="G91" t="s">
        <v>16</v>
      </c>
      <c r="H91">
        <v>1</v>
      </c>
      <c r="I91">
        <v>33500</v>
      </c>
      <c r="J91">
        <v>0.1</v>
      </c>
      <c r="K91">
        <v>30150</v>
      </c>
      <c r="L91">
        <f>Table3_1[[#This Row],[Quantity]]*Table3_1[[#This Row],[Unit_Price]]</f>
        <v>33500</v>
      </c>
      <c r="M91" t="s">
        <v>211</v>
      </c>
      <c r="N91">
        <f>YEAR(Table3_1[[#This Row],[Order_Date]])</f>
        <v>2024</v>
      </c>
      <c r="O91" t="str">
        <f>TEXT(Table3_1[[#This Row],[Order_Date]],"mmm")</f>
        <v>Mar</v>
      </c>
      <c r="P91" t="str">
        <f>TEXT(Table3_1[[#This Row],[Order_Date]],"yyyy-mm")</f>
        <v>2024-03</v>
      </c>
      <c r="Q91">
        <f>1</f>
        <v>1</v>
      </c>
      <c r="R91">
        <f>Table3_1[[#This Row],[Quantity]]*Table3_1[[#This Row],[Unit_Price]]*Table3_1[[#This Row],[Discount]]</f>
        <v>3350</v>
      </c>
      <c r="S91" t="str">
        <f>IF(Table3_1[[#This Row],[Final_sales]]&gt;=50000,"High Value",IF(Table3_1[[#This Row],[Final_sales]]&lt;=25000,"Medium Value","Low Value"))</f>
        <v>Low Value</v>
      </c>
    </row>
    <row r="92" spans="1:19" x14ac:dyDescent="0.3">
      <c r="A92" t="s">
        <v>154</v>
      </c>
      <c r="B92" s="3">
        <v>45382</v>
      </c>
      <c r="C92" t="s">
        <v>42</v>
      </c>
      <c r="D92" t="s">
        <v>222</v>
      </c>
      <c r="E92" t="s">
        <v>212</v>
      </c>
      <c r="F92" t="s">
        <v>40</v>
      </c>
      <c r="G92" t="s">
        <v>207</v>
      </c>
      <c r="H92">
        <v>1</v>
      </c>
      <c r="I92">
        <v>42000</v>
      </c>
      <c r="J92">
        <v>0.08</v>
      </c>
      <c r="K92">
        <v>38640</v>
      </c>
      <c r="L92">
        <f>Table3_1[[#This Row],[Quantity]]*Table3_1[[#This Row],[Unit_Price]]</f>
        <v>42000</v>
      </c>
      <c r="M92" t="s">
        <v>211</v>
      </c>
      <c r="N92">
        <f>YEAR(Table3_1[[#This Row],[Order_Date]])</f>
        <v>2024</v>
      </c>
      <c r="O92" t="str">
        <f>TEXT(Table3_1[[#This Row],[Order_Date]],"mmm")</f>
        <v>Mar</v>
      </c>
      <c r="P92" t="str">
        <f>TEXT(Table3_1[[#This Row],[Order_Date]],"yyyy-mm")</f>
        <v>2024-03</v>
      </c>
      <c r="Q92">
        <f>1</f>
        <v>1</v>
      </c>
      <c r="R92">
        <f>Table3_1[[#This Row],[Quantity]]*Table3_1[[#This Row],[Unit_Price]]*Table3_1[[#This Row],[Discount]]</f>
        <v>3360</v>
      </c>
      <c r="S92" t="str">
        <f>IF(Table3_1[[#This Row],[Final_sales]]&gt;=50000,"High Value",IF(Table3_1[[#This Row],[Final_sales]]&lt;=25000,"Medium Value","Low Value"))</f>
        <v>Low Value</v>
      </c>
    </row>
    <row r="93" spans="1:19" x14ac:dyDescent="0.3">
      <c r="A93" t="s">
        <v>155</v>
      </c>
      <c r="B93" s="3">
        <v>45383</v>
      </c>
      <c r="C93" t="s">
        <v>22</v>
      </c>
      <c r="D93" t="s">
        <v>244</v>
      </c>
      <c r="E93" t="s">
        <v>214</v>
      </c>
      <c r="F93" t="s">
        <v>30</v>
      </c>
      <c r="G93" t="s">
        <v>206</v>
      </c>
      <c r="H93">
        <v>2</v>
      </c>
      <c r="I93">
        <v>29000</v>
      </c>
      <c r="J93">
        <v>0.05</v>
      </c>
      <c r="K93">
        <v>55100</v>
      </c>
      <c r="L93">
        <f>Table3_1[[#This Row],[Quantity]]*Table3_1[[#This Row],[Unit_Price]]</f>
        <v>58000</v>
      </c>
      <c r="M93" t="s">
        <v>211</v>
      </c>
      <c r="N93">
        <f>YEAR(Table3_1[[#This Row],[Order_Date]])</f>
        <v>2024</v>
      </c>
      <c r="O93" t="str">
        <f>TEXT(Table3_1[[#This Row],[Order_Date]],"mmm")</f>
        <v>Apr</v>
      </c>
      <c r="P93" t="str">
        <f>TEXT(Table3_1[[#This Row],[Order_Date]],"yyyy-mm")</f>
        <v>2024-04</v>
      </c>
      <c r="Q93">
        <f>1</f>
        <v>1</v>
      </c>
      <c r="R93">
        <f>Table3_1[[#This Row],[Quantity]]*Table3_1[[#This Row],[Unit_Price]]*Table3_1[[#This Row],[Discount]]</f>
        <v>2900</v>
      </c>
      <c r="S93" t="str">
        <f>IF(Table3_1[[#This Row],[Final_sales]]&gt;=50000,"High Value",IF(Table3_1[[#This Row],[Final_sales]]&lt;=25000,"Medium Value","Low Value"))</f>
        <v>High Value</v>
      </c>
    </row>
    <row r="94" spans="1:19" x14ac:dyDescent="0.3">
      <c r="A94" t="s">
        <v>157</v>
      </c>
      <c r="B94" s="3">
        <v>45384</v>
      </c>
      <c r="C94" t="s">
        <v>60</v>
      </c>
      <c r="D94" t="s">
        <v>245</v>
      </c>
      <c r="E94" t="s">
        <v>218</v>
      </c>
      <c r="F94" t="s">
        <v>43</v>
      </c>
      <c r="G94" t="s">
        <v>16</v>
      </c>
      <c r="H94">
        <v>1</v>
      </c>
      <c r="I94">
        <v>58500</v>
      </c>
      <c r="J94">
        <v>0.1</v>
      </c>
      <c r="K94">
        <v>52650</v>
      </c>
      <c r="L94">
        <f>Table3_1[[#This Row],[Quantity]]*Table3_1[[#This Row],[Unit_Price]]</f>
        <v>58500</v>
      </c>
      <c r="M94" t="s">
        <v>211</v>
      </c>
      <c r="N94">
        <f>YEAR(Table3_1[[#This Row],[Order_Date]])</f>
        <v>2024</v>
      </c>
      <c r="O94" t="str">
        <f>TEXT(Table3_1[[#This Row],[Order_Date]],"mmm")</f>
        <v>Apr</v>
      </c>
      <c r="P94" t="str">
        <f>TEXT(Table3_1[[#This Row],[Order_Date]],"yyyy-mm")</f>
        <v>2024-04</v>
      </c>
      <c r="Q94">
        <f>1</f>
        <v>1</v>
      </c>
      <c r="R94">
        <f>Table3_1[[#This Row],[Quantity]]*Table3_1[[#This Row],[Unit_Price]]*Table3_1[[#This Row],[Discount]]</f>
        <v>5850</v>
      </c>
      <c r="S94" t="str">
        <f>IF(Table3_1[[#This Row],[Final_sales]]&gt;=50000,"High Value",IF(Table3_1[[#This Row],[Final_sales]]&lt;=25000,"Medium Value","Low Value"))</f>
        <v>High Value</v>
      </c>
    </row>
    <row r="95" spans="1:19" x14ac:dyDescent="0.3">
      <c r="A95" t="s">
        <v>159</v>
      </c>
      <c r="B95" s="3">
        <v>45385</v>
      </c>
      <c r="C95" t="s">
        <v>48</v>
      </c>
      <c r="D95" t="s">
        <v>246</v>
      </c>
      <c r="E95" t="s">
        <v>220</v>
      </c>
      <c r="F95" t="s">
        <v>25</v>
      </c>
      <c r="G95" t="s">
        <v>206</v>
      </c>
      <c r="H95">
        <v>1</v>
      </c>
      <c r="I95">
        <v>46500</v>
      </c>
      <c r="J95">
        <v>0</v>
      </c>
      <c r="K95">
        <v>46500</v>
      </c>
      <c r="L95">
        <f>Table3_1[[#This Row],[Quantity]]*Table3_1[[#This Row],[Unit_Price]]</f>
        <v>46500</v>
      </c>
      <c r="M95" t="s">
        <v>211</v>
      </c>
      <c r="N95">
        <f>YEAR(Table3_1[[#This Row],[Order_Date]])</f>
        <v>2024</v>
      </c>
      <c r="O95" t="str">
        <f>TEXT(Table3_1[[#This Row],[Order_Date]],"mmm")</f>
        <v>Apr</v>
      </c>
      <c r="P95" t="str">
        <f>TEXT(Table3_1[[#This Row],[Order_Date]],"yyyy-mm")</f>
        <v>2024-04</v>
      </c>
      <c r="Q95">
        <f>1</f>
        <v>1</v>
      </c>
      <c r="R95">
        <f>Table3_1[[#This Row],[Quantity]]*Table3_1[[#This Row],[Unit_Price]]*Table3_1[[#This Row],[Discount]]</f>
        <v>0</v>
      </c>
      <c r="S95" t="str">
        <f>IF(Table3_1[[#This Row],[Final_sales]]&gt;=50000,"High Value",IF(Table3_1[[#This Row],[Final_sales]]&lt;=25000,"Medium Value","Low Value"))</f>
        <v>Low Value</v>
      </c>
    </row>
    <row r="96" spans="1:19" x14ac:dyDescent="0.3">
      <c r="A96" t="s">
        <v>161</v>
      </c>
      <c r="B96" s="3">
        <v>45386</v>
      </c>
      <c r="C96" t="s">
        <v>42</v>
      </c>
      <c r="D96" t="s">
        <v>209</v>
      </c>
      <c r="E96" t="s">
        <v>210</v>
      </c>
      <c r="F96" t="s">
        <v>20</v>
      </c>
      <c r="G96" t="s">
        <v>16</v>
      </c>
      <c r="H96">
        <v>2</v>
      </c>
      <c r="I96">
        <v>17200</v>
      </c>
      <c r="J96">
        <v>0.05</v>
      </c>
      <c r="K96">
        <v>32680</v>
      </c>
      <c r="L96">
        <f>Table3_1[[#This Row],[Quantity]]*Table3_1[[#This Row],[Unit_Price]]</f>
        <v>34400</v>
      </c>
      <c r="M96" t="s">
        <v>211</v>
      </c>
      <c r="N96">
        <f>YEAR(Table3_1[[#This Row],[Order_Date]])</f>
        <v>2024</v>
      </c>
      <c r="O96" t="str">
        <f>TEXT(Table3_1[[#This Row],[Order_Date]],"mmm")</f>
        <v>Apr</v>
      </c>
      <c r="P96" t="str">
        <f>TEXT(Table3_1[[#This Row],[Order_Date]],"yyyy-mm")</f>
        <v>2024-04</v>
      </c>
      <c r="Q96">
        <f>1</f>
        <v>1</v>
      </c>
      <c r="R96">
        <f>Table3_1[[#This Row],[Quantity]]*Table3_1[[#This Row],[Unit_Price]]*Table3_1[[#This Row],[Discount]]</f>
        <v>1720</v>
      </c>
      <c r="S96" t="str">
        <f>IF(Table3_1[[#This Row],[Final_sales]]&gt;=50000,"High Value",IF(Table3_1[[#This Row],[Final_sales]]&lt;=25000,"Medium Value","Low Value"))</f>
        <v>Low Value</v>
      </c>
    </row>
    <row r="97" spans="1:19" x14ac:dyDescent="0.3">
      <c r="A97" t="s">
        <v>162</v>
      </c>
      <c r="B97" s="3">
        <v>45387</v>
      </c>
      <c r="C97" t="s">
        <v>22</v>
      </c>
      <c r="D97" t="s">
        <v>247</v>
      </c>
      <c r="E97" t="s">
        <v>214</v>
      </c>
      <c r="F97" t="s">
        <v>35</v>
      </c>
      <c r="G97" t="s">
        <v>206</v>
      </c>
      <c r="H97">
        <v>1</v>
      </c>
      <c r="I97">
        <v>14200</v>
      </c>
      <c r="J97">
        <v>0.05</v>
      </c>
      <c r="K97">
        <v>13490</v>
      </c>
      <c r="L97">
        <f>Table3_1[[#This Row],[Quantity]]*Table3_1[[#This Row],[Unit_Price]]</f>
        <v>14200</v>
      </c>
      <c r="M97" t="s">
        <v>211</v>
      </c>
      <c r="N97">
        <f>YEAR(Table3_1[[#This Row],[Order_Date]])</f>
        <v>2024</v>
      </c>
      <c r="O97" t="str">
        <f>TEXT(Table3_1[[#This Row],[Order_Date]],"mmm")</f>
        <v>Apr</v>
      </c>
      <c r="P97" t="str">
        <f>TEXT(Table3_1[[#This Row],[Order_Date]],"yyyy-mm")</f>
        <v>2024-04</v>
      </c>
      <c r="Q97">
        <f>1</f>
        <v>1</v>
      </c>
      <c r="R97">
        <f>Table3_1[[#This Row],[Quantity]]*Table3_1[[#This Row],[Unit_Price]]*Table3_1[[#This Row],[Discount]]</f>
        <v>710</v>
      </c>
      <c r="S97" t="str">
        <f>IF(Table3_1[[#This Row],[Final_sales]]&gt;=50000,"High Value",IF(Table3_1[[#This Row],[Final_sales]]&lt;=25000,"Medium Value","Low Value"))</f>
        <v>Medium Value</v>
      </c>
    </row>
    <row r="98" spans="1:19" x14ac:dyDescent="0.3">
      <c r="A98" t="s">
        <v>164</v>
      </c>
      <c r="B98" s="3">
        <v>45388</v>
      </c>
      <c r="C98" t="s">
        <v>60</v>
      </c>
      <c r="D98" t="s">
        <v>248</v>
      </c>
      <c r="E98" t="s">
        <v>218</v>
      </c>
      <c r="F98" t="s">
        <v>30</v>
      </c>
      <c r="G98" t="s">
        <v>206</v>
      </c>
      <c r="H98">
        <v>2</v>
      </c>
      <c r="I98">
        <v>26000</v>
      </c>
      <c r="J98">
        <v>0.1</v>
      </c>
      <c r="K98">
        <v>46800</v>
      </c>
      <c r="L98">
        <f>Table3_1[[#This Row],[Quantity]]*Table3_1[[#This Row],[Unit_Price]]</f>
        <v>52000</v>
      </c>
      <c r="M98" t="s">
        <v>211</v>
      </c>
      <c r="N98">
        <f>YEAR(Table3_1[[#This Row],[Order_Date]])</f>
        <v>2024</v>
      </c>
      <c r="O98" t="str">
        <f>TEXT(Table3_1[[#This Row],[Order_Date]],"mmm")</f>
        <v>Apr</v>
      </c>
      <c r="P98" t="str">
        <f>TEXT(Table3_1[[#This Row],[Order_Date]],"yyyy-mm")</f>
        <v>2024-04</v>
      </c>
      <c r="Q98">
        <f>1</f>
        <v>1</v>
      </c>
      <c r="R98">
        <f>Table3_1[[#This Row],[Quantity]]*Table3_1[[#This Row],[Unit_Price]]*Table3_1[[#This Row],[Discount]]</f>
        <v>5200</v>
      </c>
      <c r="S98" t="str">
        <f>IF(Table3_1[[#This Row],[Final_sales]]&gt;=50000,"High Value",IF(Table3_1[[#This Row],[Final_sales]]&lt;=25000,"Medium Value","Low Value"))</f>
        <v>Low Value</v>
      </c>
    </row>
    <row r="99" spans="1:19" x14ac:dyDescent="0.3">
      <c r="A99" t="s">
        <v>166</v>
      </c>
      <c r="B99" s="3">
        <v>45389</v>
      </c>
      <c r="C99" t="s">
        <v>48</v>
      </c>
      <c r="D99" t="s">
        <v>249</v>
      </c>
      <c r="E99" t="s">
        <v>220</v>
      </c>
      <c r="F99" t="s">
        <v>43</v>
      </c>
      <c r="G99" t="s">
        <v>16</v>
      </c>
      <c r="H99">
        <v>1</v>
      </c>
      <c r="I99">
        <v>63500</v>
      </c>
      <c r="J99">
        <v>0.1</v>
      </c>
      <c r="K99">
        <v>57150</v>
      </c>
      <c r="L99">
        <f>Table3_1[[#This Row],[Quantity]]*Table3_1[[#This Row],[Unit_Price]]</f>
        <v>63500</v>
      </c>
      <c r="M99" t="s">
        <v>211</v>
      </c>
      <c r="N99">
        <f>YEAR(Table3_1[[#This Row],[Order_Date]])</f>
        <v>2024</v>
      </c>
      <c r="O99" t="str">
        <f>TEXT(Table3_1[[#This Row],[Order_Date]],"mmm")</f>
        <v>Apr</v>
      </c>
      <c r="P99" t="str">
        <f>TEXT(Table3_1[[#This Row],[Order_Date]],"yyyy-mm")</f>
        <v>2024-04</v>
      </c>
      <c r="Q99">
        <f>1</f>
        <v>1</v>
      </c>
      <c r="R99">
        <f>Table3_1[[#This Row],[Quantity]]*Table3_1[[#This Row],[Unit_Price]]*Table3_1[[#This Row],[Discount]]</f>
        <v>6350</v>
      </c>
      <c r="S99" t="str">
        <f>IF(Table3_1[[#This Row],[Final_sales]]&gt;=50000,"High Value",IF(Table3_1[[#This Row],[Final_sales]]&lt;=25000,"Medium Value","Low Value"))</f>
        <v>High Value</v>
      </c>
    </row>
    <row r="100" spans="1:19" x14ac:dyDescent="0.3">
      <c r="A100" t="s">
        <v>168</v>
      </c>
      <c r="B100" s="3">
        <v>45390</v>
      </c>
      <c r="C100" t="s">
        <v>42</v>
      </c>
      <c r="D100" t="s">
        <v>250</v>
      </c>
      <c r="E100" t="s">
        <v>212</v>
      </c>
      <c r="F100" t="s">
        <v>15</v>
      </c>
      <c r="G100" t="s">
        <v>16</v>
      </c>
      <c r="H100">
        <v>1</v>
      </c>
      <c r="I100">
        <v>35500</v>
      </c>
      <c r="J100">
        <v>0.08</v>
      </c>
      <c r="K100">
        <v>32660</v>
      </c>
      <c r="L100">
        <f>Table3_1[[#This Row],[Quantity]]*Table3_1[[#This Row],[Unit_Price]]</f>
        <v>35500</v>
      </c>
      <c r="M100" t="s">
        <v>211</v>
      </c>
      <c r="N100">
        <f>YEAR(Table3_1[[#This Row],[Order_Date]])</f>
        <v>2024</v>
      </c>
      <c r="O100" t="str">
        <f>TEXT(Table3_1[[#This Row],[Order_Date]],"mmm")</f>
        <v>Apr</v>
      </c>
      <c r="P100" t="str">
        <f>TEXT(Table3_1[[#This Row],[Order_Date]],"yyyy-mm")</f>
        <v>2024-04</v>
      </c>
      <c r="Q100">
        <f>1</f>
        <v>1</v>
      </c>
      <c r="R100">
        <f>Table3_1[[#This Row],[Quantity]]*Table3_1[[#This Row],[Unit_Price]]*Table3_1[[#This Row],[Discount]]</f>
        <v>2840</v>
      </c>
      <c r="S100" t="str">
        <f>IF(Table3_1[[#This Row],[Final_sales]]&gt;=50000,"High Value",IF(Table3_1[[#This Row],[Final_sales]]&lt;=25000,"Medium Value","Low Value"))</f>
        <v>Low Value</v>
      </c>
    </row>
    <row r="101" spans="1:19" x14ac:dyDescent="0.3">
      <c r="A101" t="s">
        <v>170</v>
      </c>
      <c r="B101" s="3">
        <v>45391</v>
      </c>
      <c r="C101" t="s">
        <v>22</v>
      </c>
      <c r="D101" t="s">
        <v>251</v>
      </c>
      <c r="E101" t="s">
        <v>214</v>
      </c>
      <c r="F101" t="s">
        <v>40</v>
      </c>
      <c r="G101" t="s">
        <v>207</v>
      </c>
      <c r="H101">
        <v>1</v>
      </c>
      <c r="I101">
        <v>41500</v>
      </c>
      <c r="J101">
        <v>0.05</v>
      </c>
      <c r="K101">
        <v>39425</v>
      </c>
      <c r="L101">
        <f>Table3_1[[#This Row],[Quantity]]*Table3_1[[#This Row],[Unit_Price]]</f>
        <v>41500</v>
      </c>
      <c r="M101" t="s">
        <v>211</v>
      </c>
      <c r="N101">
        <f>YEAR(Table3_1[[#This Row],[Order_Date]])</f>
        <v>2024</v>
      </c>
      <c r="O101" t="str">
        <f>TEXT(Table3_1[[#This Row],[Order_Date]],"mmm")</f>
        <v>Apr</v>
      </c>
      <c r="P101" t="str">
        <f>TEXT(Table3_1[[#This Row],[Order_Date]],"yyyy-mm")</f>
        <v>2024-04</v>
      </c>
      <c r="Q101">
        <f>1</f>
        <v>1</v>
      </c>
      <c r="R101">
        <f>Table3_1[[#This Row],[Quantity]]*Table3_1[[#This Row],[Unit_Price]]*Table3_1[[#This Row],[Discount]]</f>
        <v>2075</v>
      </c>
      <c r="S101" t="str">
        <f>IF(Table3_1[[#This Row],[Final_sales]]&gt;=50000,"High Value",IF(Table3_1[[#This Row],[Final_sales]]&lt;=25000,"Medium Value","Low Value"))</f>
        <v>Low Value</v>
      </c>
    </row>
    <row r="102" spans="1:19" x14ac:dyDescent="0.3">
      <c r="A102" t="s">
        <v>172</v>
      </c>
      <c r="B102" s="3">
        <v>45392</v>
      </c>
      <c r="C102" t="s">
        <v>60</v>
      </c>
      <c r="D102" t="s">
        <v>252</v>
      </c>
      <c r="E102" t="s">
        <v>218</v>
      </c>
      <c r="F102" t="s">
        <v>20</v>
      </c>
      <c r="G102" t="s">
        <v>16</v>
      </c>
      <c r="H102">
        <v>3</v>
      </c>
      <c r="I102">
        <v>14800</v>
      </c>
      <c r="J102">
        <v>0</v>
      </c>
      <c r="K102">
        <v>44400</v>
      </c>
      <c r="L102">
        <f>Table3_1[[#This Row],[Quantity]]*Table3_1[[#This Row],[Unit_Price]]</f>
        <v>44400</v>
      </c>
      <c r="M102" t="s">
        <v>211</v>
      </c>
      <c r="N102">
        <f>YEAR(Table3_1[[#This Row],[Order_Date]])</f>
        <v>2024</v>
      </c>
      <c r="O102" t="str">
        <f>TEXT(Table3_1[[#This Row],[Order_Date]],"mmm")</f>
        <v>Apr</v>
      </c>
      <c r="P102" t="str">
        <f>TEXT(Table3_1[[#This Row],[Order_Date]],"yyyy-mm")</f>
        <v>2024-04</v>
      </c>
      <c r="Q102">
        <f>1</f>
        <v>1</v>
      </c>
      <c r="R102">
        <f>Table3_1[[#This Row],[Quantity]]*Table3_1[[#This Row],[Unit_Price]]*Table3_1[[#This Row],[Discount]]</f>
        <v>0</v>
      </c>
      <c r="S102" t="str">
        <f>IF(Table3_1[[#This Row],[Final_sales]]&gt;=50000,"High Value",IF(Table3_1[[#This Row],[Final_sales]]&lt;=25000,"Medium Value","Low Value"))</f>
        <v>Low Value</v>
      </c>
    </row>
    <row r="103" spans="1:19" x14ac:dyDescent="0.3">
      <c r="A103" t="s">
        <v>174</v>
      </c>
      <c r="B103" s="3">
        <v>45393</v>
      </c>
      <c r="C103" t="s">
        <v>48</v>
      </c>
      <c r="D103" t="s">
        <v>219</v>
      </c>
      <c r="E103" t="s">
        <v>220</v>
      </c>
      <c r="F103" t="s">
        <v>30</v>
      </c>
      <c r="G103" t="s">
        <v>206</v>
      </c>
      <c r="H103">
        <v>1</v>
      </c>
      <c r="I103">
        <v>32500</v>
      </c>
      <c r="J103">
        <v>0.1</v>
      </c>
      <c r="K103">
        <v>29250</v>
      </c>
      <c r="L103">
        <f>Table3_1[[#This Row],[Quantity]]*Table3_1[[#This Row],[Unit_Price]]</f>
        <v>32500</v>
      </c>
      <c r="M103" t="s">
        <v>211</v>
      </c>
      <c r="N103">
        <f>YEAR(Table3_1[[#This Row],[Order_Date]])</f>
        <v>2024</v>
      </c>
      <c r="O103" t="str">
        <f>TEXT(Table3_1[[#This Row],[Order_Date]],"mmm")</f>
        <v>Apr</v>
      </c>
      <c r="P103" t="str">
        <f>TEXT(Table3_1[[#This Row],[Order_Date]],"yyyy-mm")</f>
        <v>2024-04</v>
      </c>
      <c r="Q103">
        <f>1</f>
        <v>1</v>
      </c>
      <c r="R103">
        <f>Table3_1[[#This Row],[Quantity]]*Table3_1[[#This Row],[Unit_Price]]*Table3_1[[#This Row],[Discount]]</f>
        <v>3250</v>
      </c>
      <c r="S103" t="str">
        <f>IF(Table3_1[[#This Row],[Final_sales]]&gt;=50000,"High Value",IF(Table3_1[[#This Row],[Final_sales]]&lt;=25000,"Medium Value","Low Value"))</f>
        <v>Low Value</v>
      </c>
    </row>
    <row r="104" spans="1:19" x14ac:dyDescent="0.3">
      <c r="A104" t="s">
        <v>175</v>
      </c>
      <c r="B104" s="3">
        <v>45394</v>
      </c>
      <c r="C104" t="s">
        <v>42</v>
      </c>
      <c r="D104" t="s">
        <v>209</v>
      </c>
      <c r="E104" t="s">
        <v>210</v>
      </c>
      <c r="F104" t="s">
        <v>43</v>
      </c>
      <c r="G104" t="s">
        <v>16</v>
      </c>
      <c r="H104">
        <v>1</v>
      </c>
      <c r="I104">
        <v>62000</v>
      </c>
      <c r="J104">
        <v>0.12</v>
      </c>
      <c r="K104">
        <v>54560</v>
      </c>
      <c r="L104">
        <f>Table3_1[[#This Row],[Quantity]]*Table3_1[[#This Row],[Unit_Price]]</f>
        <v>62000</v>
      </c>
      <c r="M104" t="s">
        <v>211</v>
      </c>
      <c r="N104">
        <f>YEAR(Table3_1[[#This Row],[Order_Date]])</f>
        <v>2024</v>
      </c>
      <c r="O104" t="str">
        <f>TEXT(Table3_1[[#This Row],[Order_Date]],"mmm")</f>
        <v>Apr</v>
      </c>
      <c r="P104" t="str">
        <f>TEXT(Table3_1[[#This Row],[Order_Date]],"yyyy-mm")</f>
        <v>2024-04</v>
      </c>
      <c r="Q104">
        <f>1</f>
        <v>1</v>
      </c>
      <c r="R104">
        <f>Table3_1[[#This Row],[Quantity]]*Table3_1[[#This Row],[Unit_Price]]*Table3_1[[#This Row],[Discount]]</f>
        <v>7440</v>
      </c>
      <c r="S104" t="str">
        <f>IF(Table3_1[[#This Row],[Final_sales]]&gt;=50000,"High Value",IF(Table3_1[[#This Row],[Final_sales]]&lt;=25000,"Medium Value","Low Value"))</f>
        <v>High Value</v>
      </c>
    </row>
    <row r="105" spans="1:19" x14ac:dyDescent="0.3">
      <c r="A105" t="s">
        <v>176</v>
      </c>
      <c r="B105" s="3">
        <v>45395</v>
      </c>
      <c r="C105" t="s">
        <v>22</v>
      </c>
      <c r="D105" t="s">
        <v>253</v>
      </c>
      <c r="E105" t="s">
        <v>214</v>
      </c>
      <c r="F105" t="s">
        <v>15</v>
      </c>
      <c r="G105" t="s">
        <v>16</v>
      </c>
      <c r="H105">
        <v>2</v>
      </c>
      <c r="I105">
        <v>33000</v>
      </c>
      <c r="J105">
        <v>0.1</v>
      </c>
      <c r="K105">
        <v>59400</v>
      </c>
      <c r="L105">
        <f>Table3_1[[#This Row],[Quantity]]*Table3_1[[#This Row],[Unit_Price]]</f>
        <v>66000</v>
      </c>
      <c r="M105" t="s">
        <v>211</v>
      </c>
      <c r="N105">
        <f>YEAR(Table3_1[[#This Row],[Order_Date]])</f>
        <v>2024</v>
      </c>
      <c r="O105" t="str">
        <f>TEXT(Table3_1[[#This Row],[Order_Date]],"mmm")</f>
        <v>Apr</v>
      </c>
      <c r="P105" t="str">
        <f>TEXT(Table3_1[[#This Row],[Order_Date]],"yyyy-mm")</f>
        <v>2024-04</v>
      </c>
      <c r="Q105">
        <f>1</f>
        <v>1</v>
      </c>
      <c r="R105">
        <f>Table3_1[[#This Row],[Quantity]]*Table3_1[[#This Row],[Unit_Price]]*Table3_1[[#This Row],[Discount]]</f>
        <v>6600</v>
      </c>
      <c r="S105" t="str">
        <f>IF(Table3_1[[#This Row],[Final_sales]]&gt;=50000,"High Value",IF(Table3_1[[#This Row],[Final_sales]]&lt;=25000,"Medium Value","Low Value"))</f>
        <v>High Value</v>
      </c>
    </row>
    <row r="106" spans="1:19" x14ac:dyDescent="0.3">
      <c r="A106" t="s">
        <v>178</v>
      </c>
      <c r="B106" s="3">
        <v>45396</v>
      </c>
      <c r="C106" t="s">
        <v>60</v>
      </c>
      <c r="D106" t="s">
        <v>254</v>
      </c>
      <c r="E106" t="s">
        <v>218</v>
      </c>
      <c r="F106" t="s">
        <v>25</v>
      </c>
      <c r="G106" t="s">
        <v>206</v>
      </c>
      <c r="H106">
        <v>1</v>
      </c>
      <c r="I106">
        <v>47500</v>
      </c>
      <c r="J106">
        <v>0.08</v>
      </c>
      <c r="K106">
        <v>43700</v>
      </c>
      <c r="L106">
        <f>Table3_1[[#This Row],[Quantity]]*Table3_1[[#This Row],[Unit_Price]]</f>
        <v>47500</v>
      </c>
      <c r="M106" t="s">
        <v>211</v>
      </c>
      <c r="N106">
        <f>YEAR(Table3_1[[#This Row],[Order_Date]])</f>
        <v>2024</v>
      </c>
      <c r="O106" t="str">
        <f>TEXT(Table3_1[[#This Row],[Order_Date]],"mmm")</f>
        <v>Apr</v>
      </c>
      <c r="P106" t="str">
        <f>TEXT(Table3_1[[#This Row],[Order_Date]],"yyyy-mm")</f>
        <v>2024-04</v>
      </c>
      <c r="Q106">
        <f>1</f>
        <v>1</v>
      </c>
      <c r="R106">
        <f>Table3_1[[#This Row],[Quantity]]*Table3_1[[#This Row],[Unit_Price]]*Table3_1[[#This Row],[Discount]]</f>
        <v>3800</v>
      </c>
      <c r="S106" t="str">
        <f>IF(Table3_1[[#This Row],[Final_sales]]&gt;=50000,"High Value",IF(Table3_1[[#This Row],[Final_sales]]&lt;=25000,"Medium Value","Low Value"))</f>
        <v>Low Value</v>
      </c>
    </row>
    <row r="107" spans="1:19" x14ac:dyDescent="0.3">
      <c r="A107" t="s">
        <v>180</v>
      </c>
      <c r="B107" s="3">
        <v>45397</v>
      </c>
      <c r="C107" t="s">
        <v>48</v>
      </c>
      <c r="D107" t="s">
        <v>255</v>
      </c>
      <c r="E107" t="s">
        <v>220</v>
      </c>
      <c r="F107" t="s">
        <v>40</v>
      </c>
      <c r="G107" t="s">
        <v>207</v>
      </c>
      <c r="H107">
        <v>1</v>
      </c>
      <c r="I107">
        <v>43000</v>
      </c>
      <c r="J107">
        <v>0</v>
      </c>
      <c r="K107">
        <v>43000</v>
      </c>
      <c r="L107">
        <f>Table3_1[[#This Row],[Quantity]]*Table3_1[[#This Row],[Unit_Price]]</f>
        <v>43000</v>
      </c>
      <c r="M107" t="s">
        <v>211</v>
      </c>
      <c r="N107">
        <f>YEAR(Table3_1[[#This Row],[Order_Date]])</f>
        <v>2024</v>
      </c>
      <c r="O107" t="str">
        <f>TEXT(Table3_1[[#This Row],[Order_Date]],"mmm")</f>
        <v>Apr</v>
      </c>
      <c r="P107" t="str">
        <f>TEXT(Table3_1[[#This Row],[Order_Date]],"yyyy-mm")</f>
        <v>2024-04</v>
      </c>
      <c r="Q107">
        <f>1</f>
        <v>1</v>
      </c>
      <c r="R107">
        <f>Table3_1[[#This Row],[Quantity]]*Table3_1[[#This Row],[Unit_Price]]*Table3_1[[#This Row],[Discount]]</f>
        <v>0</v>
      </c>
      <c r="S107" t="str">
        <f>IF(Table3_1[[#This Row],[Final_sales]]&gt;=50000,"High Value",IF(Table3_1[[#This Row],[Final_sales]]&lt;=25000,"Medium Value","Low Value"))</f>
        <v>Low Value</v>
      </c>
    </row>
    <row r="108" spans="1:19" x14ac:dyDescent="0.3">
      <c r="A108" t="s">
        <v>182</v>
      </c>
      <c r="B108" s="3">
        <v>45398</v>
      </c>
      <c r="C108" t="s">
        <v>42</v>
      </c>
      <c r="D108" t="s">
        <v>225</v>
      </c>
      <c r="E108" t="s">
        <v>212</v>
      </c>
      <c r="F108" t="s">
        <v>35</v>
      </c>
      <c r="G108" t="s">
        <v>206</v>
      </c>
      <c r="H108">
        <v>1</v>
      </c>
      <c r="I108">
        <v>15500</v>
      </c>
      <c r="J108">
        <v>0.05</v>
      </c>
      <c r="K108">
        <v>14725</v>
      </c>
      <c r="L108">
        <f>Table3_1[[#This Row],[Quantity]]*Table3_1[[#This Row],[Unit_Price]]</f>
        <v>15500</v>
      </c>
      <c r="M108" t="s">
        <v>211</v>
      </c>
      <c r="N108">
        <f>YEAR(Table3_1[[#This Row],[Order_Date]])</f>
        <v>2024</v>
      </c>
      <c r="O108" t="str">
        <f>TEXT(Table3_1[[#This Row],[Order_Date]],"mmm")</f>
        <v>Apr</v>
      </c>
      <c r="P108" t="str">
        <f>TEXT(Table3_1[[#This Row],[Order_Date]],"yyyy-mm")</f>
        <v>2024-04</v>
      </c>
      <c r="Q108">
        <f>1</f>
        <v>1</v>
      </c>
      <c r="R108">
        <f>Table3_1[[#This Row],[Quantity]]*Table3_1[[#This Row],[Unit_Price]]*Table3_1[[#This Row],[Discount]]</f>
        <v>775</v>
      </c>
      <c r="S108" t="str">
        <f>IF(Table3_1[[#This Row],[Final_sales]]&gt;=50000,"High Value",IF(Table3_1[[#This Row],[Final_sales]]&lt;=25000,"Medium Value","Low Value"))</f>
        <v>Medium Value</v>
      </c>
    </row>
    <row r="109" spans="1:19" x14ac:dyDescent="0.3">
      <c r="A109" t="s">
        <v>183</v>
      </c>
      <c r="B109" s="3">
        <v>45399</v>
      </c>
      <c r="C109" t="s">
        <v>22</v>
      </c>
      <c r="D109" t="s">
        <v>256</v>
      </c>
      <c r="E109" t="s">
        <v>214</v>
      </c>
      <c r="F109" t="s">
        <v>20</v>
      </c>
      <c r="G109" t="s">
        <v>16</v>
      </c>
      <c r="H109">
        <v>2</v>
      </c>
      <c r="I109">
        <v>15800</v>
      </c>
      <c r="J109">
        <v>0.05</v>
      </c>
      <c r="K109">
        <v>30020</v>
      </c>
      <c r="L109">
        <f>Table3_1[[#This Row],[Quantity]]*Table3_1[[#This Row],[Unit_Price]]</f>
        <v>31600</v>
      </c>
      <c r="M109" t="s">
        <v>211</v>
      </c>
      <c r="N109">
        <f>YEAR(Table3_1[[#This Row],[Order_Date]])</f>
        <v>2024</v>
      </c>
      <c r="O109" t="str">
        <f>TEXT(Table3_1[[#This Row],[Order_Date]],"mmm")</f>
        <v>Apr</v>
      </c>
      <c r="P109" t="str">
        <f>TEXT(Table3_1[[#This Row],[Order_Date]],"yyyy-mm")</f>
        <v>2024-04</v>
      </c>
      <c r="Q109">
        <f>1</f>
        <v>1</v>
      </c>
      <c r="R109">
        <f>Table3_1[[#This Row],[Quantity]]*Table3_1[[#This Row],[Unit_Price]]*Table3_1[[#This Row],[Discount]]</f>
        <v>1580</v>
      </c>
      <c r="S109" t="str">
        <f>IF(Table3_1[[#This Row],[Final_sales]]&gt;=50000,"High Value",IF(Table3_1[[#This Row],[Final_sales]]&lt;=25000,"Medium Value","Low Value"))</f>
        <v>Low Value</v>
      </c>
    </row>
    <row r="110" spans="1:19" x14ac:dyDescent="0.3">
      <c r="A110" t="s">
        <v>185</v>
      </c>
      <c r="B110" s="3">
        <v>45400</v>
      </c>
      <c r="C110" t="s">
        <v>60</v>
      </c>
      <c r="D110" t="s">
        <v>257</v>
      </c>
      <c r="E110" t="s">
        <v>218</v>
      </c>
      <c r="F110" t="s">
        <v>43</v>
      </c>
      <c r="G110" t="s">
        <v>16</v>
      </c>
      <c r="H110">
        <v>1</v>
      </c>
      <c r="I110">
        <v>59500</v>
      </c>
      <c r="J110">
        <v>0.1</v>
      </c>
      <c r="K110">
        <v>53550</v>
      </c>
      <c r="L110">
        <f>Table3_1[[#This Row],[Quantity]]*Table3_1[[#This Row],[Unit_Price]]</f>
        <v>59500</v>
      </c>
      <c r="M110" t="s">
        <v>211</v>
      </c>
      <c r="N110">
        <f>YEAR(Table3_1[[#This Row],[Order_Date]])</f>
        <v>2024</v>
      </c>
      <c r="O110" t="str">
        <f>TEXT(Table3_1[[#This Row],[Order_Date]],"mmm")</f>
        <v>Apr</v>
      </c>
      <c r="P110" t="str">
        <f>TEXT(Table3_1[[#This Row],[Order_Date]],"yyyy-mm")</f>
        <v>2024-04</v>
      </c>
      <c r="Q110">
        <f>1</f>
        <v>1</v>
      </c>
      <c r="R110">
        <f>Table3_1[[#This Row],[Quantity]]*Table3_1[[#This Row],[Unit_Price]]*Table3_1[[#This Row],[Discount]]</f>
        <v>5950</v>
      </c>
      <c r="S110" t="str">
        <f>IF(Table3_1[[#This Row],[Final_sales]]&gt;=50000,"High Value",IF(Table3_1[[#This Row],[Final_sales]]&lt;=25000,"Medium Value","Low Value"))</f>
        <v>High Value</v>
      </c>
    </row>
    <row r="111" spans="1:19" x14ac:dyDescent="0.3">
      <c r="A111" t="s">
        <v>187</v>
      </c>
      <c r="B111" s="3">
        <v>45401</v>
      </c>
      <c r="C111" t="s">
        <v>48</v>
      </c>
      <c r="D111" t="s">
        <v>258</v>
      </c>
      <c r="E111" t="s">
        <v>220</v>
      </c>
      <c r="F111" t="s">
        <v>15</v>
      </c>
      <c r="G111" t="s">
        <v>16</v>
      </c>
      <c r="H111">
        <v>1</v>
      </c>
      <c r="I111">
        <v>36500</v>
      </c>
      <c r="J111">
        <v>0.1</v>
      </c>
      <c r="K111">
        <v>32850</v>
      </c>
      <c r="L111">
        <f>Table3_1[[#This Row],[Quantity]]*Table3_1[[#This Row],[Unit_Price]]</f>
        <v>36500</v>
      </c>
      <c r="M111" t="s">
        <v>211</v>
      </c>
      <c r="N111">
        <f>YEAR(Table3_1[[#This Row],[Order_Date]])</f>
        <v>2024</v>
      </c>
      <c r="O111" t="str">
        <f>TEXT(Table3_1[[#This Row],[Order_Date]],"mmm")</f>
        <v>Apr</v>
      </c>
      <c r="P111" t="str">
        <f>TEXT(Table3_1[[#This Row],[Order_Date]],"yyyy-mm")</f>
        <v>2024-04</v>
      </c>
      <c r="Q111">
        <f>1</f>
        <v>1</v>
      </c>
      <c r="R111">
        <f>Table3_1[[#This Row],[Quantity]]*Table3_1[[#This Row],[Unit_Price]]*Table3_1[[#This Row],[Discount]]</f>
        <v>3650</v>
      </c>
      <c r="S111" t="str">
        <f>IF(Table3_1[[#This Row],[Final_sales]]&gt;=50000,"High Value",IF(Table3_1[[#This Row],[Final_sales]]&lt;=25000,"Medium Value","Low Value"))</f>
        <v>Low Value</v>
      </c>
    </row>
    <row r="112" spans="1:19" x14ac:dyDescent="0.3">
      <c r="A112" t="s">
        <v>189</v>
      </c>
      <c r="B112" s="3">
        <v>45402</v>
      </c>
      <c r="C112" t="s">
        <v>42</v>
      </c>
      <c r="D112" t="s">
        <v>209</v>
      </c>
      <c r="E112" t="s">
        <v>210</v>
      </c>
      <c r="F112" t="s">
        <v>40</v>
      </c>
      <c r="G112" t="s">
        <v>207</v>
      </c>
      <c r="H112">
        <v>1</v>
      </c>
      <c r="I112">
        <v>42500</v>
      </c>
      <c r="J112">
        <v>0.08</v>
      </c>
      <c r="K112">
        <v>39100</v>
      </c>
      <c r="L112">
        <f>Table3_1[[#This Row],[Quantity]]*Table3_1[[#This Row],[Unit_Price]]</f>
        <v>42500</v>
      </c>
      <c r="M112" t="s">
        <v>211</v>
      </c>
      <c r="N112">
        <f>YEAR(Table3_1[[#This Row],[Order_Date]])</f>
        <v>2024</v>
      </c>
      <c r="O112" t="str">
        <f>TEXT(Table3_1[[#This Row],[Order_Date]],"mmm")</f>
        <v>Apr</v>
      </c>
      <c r="P112" t="str">
        <f>TEXT(Table3_1[[#This Row],[Order_Date]],"yyyy-mm")</f>
        <v>2024-04</v>
      </c>
      <c r="Q112">
        <f>1</f>
        <v>1</v>
      </c>
      <c r="R112">
        <f>Table3_1[[#This Row],[Quantity]]*Table3_1[[#This Row],[Unit_Price]]*Table3_1[[#This Row],[Discount]]</f>
        <v>3400</v>
      </c>
      <c r="S112" t="str">
        <f>IF(Table3_1[[#This Row],[Final_sales]]&gt;=50000,"High Value",IF(Table3_1[[#This Row],[Final_sales]]&lt;=25000,"Medium Value","Low Value"))</f>
        <v>Low Value</v>
      </c>
    </row>
    <row r="113" spans="1:19" x14ac:dyDescent="0.3">
      <c r="A113" t="s">
        <v>190</v>
      </c>
      <c r="B113" s="3">
        <v>45403</v>
      </c>
      <c r="C113" t="s">
        <v>22</v>
      </c>
      <c r="D113" t="s">
        <v>259</v>
      </c>
      <c r="E113" t="s">
        <v>214</v>
      </c>
      <c r="F113" t="s">
        <v>30</v>
      </c>
      <c r="G113" t="s">
        <v>206</v>
      </c>
      <c r="H113">
        <v>2</v>
      </c>
      <c r="I113">
        <v>29500</v>
      </c>
      <c r="J113">
        <v>0.05</v>
      </c>
      <c r="K113">
        <v>56050</v>
      </c>
      <c r="L113">
        <f>Table3_1[[#This Row],[Quantity]]*Table3_1[[#This Row],[Unit_Price]]</f>
        <v>59000</v>
      </c>
      <c r="M113" t="s">
        <v>211</v>
      </c>
      <c r="N113">
        <f>YEAR(Table3_1[[#This Row],[Order_Date]])</f>
        <v>2024</v>
      </c>
      <c r="O113" t="str">
        <f>TEXT(Table3_1[[#This Row],[Order_Date]],"mmm")</f>
        <v>Apr</v>
      </c>
      <c r="P113" t="str">
        <f>TEXT(Table3_1[[#This Row],[Order_Date]],"yyyy-mm")</f>
        <v>2024-04</v>
      </c>
      <c r="Q113">
        <f>1</f>
        <v>1</v>
      </c>
      <c r="R113">
        <f>Table3_1[[#This Row],[Quantity]]*Table3_1[[#This Row],[Unit_Price]]*Table3_1[[#This Row],[Discount]]</f>
        <v>2950</v>
      </c>
      <c r="S113" t="str">
        <f>IF(Table3_1[[#This Row],[Final_sales]]&gt;=50000,"High Value",IF(Table3_1[[#This Row],[Final_sales]]&lt;=25000,"Medium Value","Low Value"))</f>
        <v>High Value</v>
      </c>
    </row>
    <row r="114" spans="1:19" x14ac:dyDescent="0.3">
      <c r="A114" t="s">
        <v>192</v>
      </c>
      <c r="B114" s="3">
        <v>45404</v>
      </c>
      <c r="C114" t="s">
        <v>60</v>
      </c>
      <c r="D114" t="s">
        <v>260</v>
      </c>
      <c r="E114" t="s">
        <v>218</v>
      </c>
      <c r="F114" t="s">
        <v>35</v>
      </c>
      <c r="G114" t="s">
        <v>206</v>
      </c>
      <c r="H114">
        <v>1</v>
      </c>
      <c r="I114">
        <v>14800</v>
      </c>
      <c r="J114">
        <v>0</v>
      </c>
      <c r="K114">
        <v>14800</v>
      </c>
      <c r="L114">
        <f>Table3_1[[#This Row],[Quantity]]*Table3_1[[#This Row],[Unit_Price]]</f>
        <v>14800</v>
      </c>
      <c r="M114" t="s">
        <v>211</v>
      </c>
      <c r="N114">
        <f>YEAR(Table3_1[[#This Row],[Order_Date]])</f>
        <v>2024</v>
      </c>
      <c r="O114" t="str">
        <f>TEXT(Table3_1[[#This Row],[Order_Date]],"mmm")</f>
        <v>Apr</v>
      </c>
      <c r="P114" t="str">
        <f>TEXT(Table3_1[[#This Row],[Order_Date]],"yyyy-mm")</f>
        <v>2024-04</v>
      </c>
      <c r="Q114">
        <f>1</f>
        <v>1</v>
      </c>
      <c r="R114">
        <f>Table3_1[[#This Row],[Quantity]]*Table3_1[[#This Row],[Unit_Price]]*Table3_1[[#This Row],[Discount]]</f>
        <v>0</v>
      </c>
      <c r="S114" t="str">
        <f>IF(Table3_1[[#This Row],[Final_sales]]&gt;=50000,"High Value",IF(Table3_1[[#This Row],[Final_sales]]&lt;=25000,"Medium Value","Low Value"))</f>
        <v>Medium Value</v>
      </c>
    </row>
    <row r="115" spans="1:19" x14ac:dyDescent="0.3">
      <c r="A115" t="s">
        <v>194</v>
      </c>
      <c r="B115" s="3">
        <v>45405</v>
      </c>
      <c r="C115" t="s">
        <v>48</v>
      </c>
      <c r="D115" t="s">
        <v>261</v>
      </c>
      <c r="E115" t="s">
        <v>220</v>
      </c>
      <c r="F115" t="s">
        <v>20</v>
      </c>
      <c r="G115" t="s">
        <v>16</v>
      </c>
      <c r="H115">
        <v>3</v>
      </c>
      <c r="I115">
        <v>16200</v>
      </c>
      <c r="J115">
        <v>0.05</v>
      </c>
      <c r="K115">
        <v>46170</v>
      </c>
      <c r="L115">
        <f>Table3_1[[#This Row],[Quantity]]*Table3_1[[#This Row],[Unit_Price]]</f>
        <v>48600</v>
      </c>
      <c r="M115" t="s">
        <v>211</v>
      </c>
      <c r="N115">
        <f>YEAR(Table3_1[[#This Row],[Order_Date]])</f>
        <v>2024</v>
      </c>
      <c r="O115" t="str">
        <f>TEXT(Table3_1[[#This Row],[Order_Date]],"mmm")</f>
        <v>Apr</v>
      </c>
      <c r="P115" t="str">
        <f>TEXT(Table3_1[[#This Row],[Order_Date]],"yyyy-mm")</f>
        <v>2024-04</v>
      </c>
      <c r="Q115">
        <f>1</f>
        <v>1</v>
      </c>
      <c r="R115">
        <f>Table3_1[[#This Row],[Quantity]]*Table3_1[[#This Row],[Unit_Price]]*Table3_1[[#This Row],[Discount]]</f>
        <v>2430</v>
      </c>
      <c r="S115" t="str">
        <f>IF(Table3_1[[#This Row],[Final_sales]]&gt;=50000,"High Value",IF(Table3_1[[#This Row],[Final_sales]]&lt;=25000,"Medium Value","Low Value"))</f>
        <v>Low Value</v>
      </c>
    </row>
    <row r="116" spans="1:19" x14ac:dyDescent="0.3">
      <c r="A116" t="s">
        <v>196</v>
      </c>
      <c r="B116" s="3">
        <v>45406</v>
      </c>
      <c r="C116" t="s">
        <v>42</v>
      </c>
      <c r="D116" t="s">
        <v>222</v>
      </c>
      <c r="E116" t="s">
        <v>212</v>
      </c>
      <c r="F116" t="s">
        <v>43</v>
      </c>
      <c r="G116" t="s">
        <v>16</v>
      </c>
      <c r="H116">
        <v>2</v>
      </c>
      <c r="I116">
        <v>61000</v>
      </c>
      <c r="J116">
        <v>0.12</v>
      </c>
      <c r="K116">
        <v>107360</v>
      </c>
      <c r="L116">
        <f>Table3_1[[#This Row],[Quantity]]*Table3_1[[#This Row],[Unit_Price]]</f>
        <v>122000</v>
      </c>
      <c r="M116" t="s">
        <v>211</v>
      </c>
      <c r="N116">
        <f>YEAR(Table3_1[[#This Row],[Order_Date]])</f>
        <v>2024</v>
      </c>
      <c r="O116" t="str">
        <f>TEXT(Table3_1[[#This Row],[Order_Date]],"mmm")</f>
        <v>Apr</v>
      </c>
      <c r="P116" t="str">
        <f>TEXT(Table3_1[[#This Row],[Order_Date]],"yyyy-mm")</f>
        <v>2024-04</v>
      </c>
      <c r="Q116">
        <f>1</f>
        <v>1</v>
      </c>
      <c r="R116">
        <f>Table3_1[[#This Row],[Quantity]]*Table3_1[[#This Row],[Unit_Price]]*Table3_1[[#This Row],[Discount]]</f>
        <v>14640</v>
      </c>
      <c r="S116" t="str">
        <f>IF(Table3_1[[#This Row],[Final_sales]]&gt;=50000,"High Value",IF(Table3_1[[#This Row],[Final_sales]]&lt;=25000,"Medium Value","Low Value"))</f>
        <v>High Value</v>
      </c>
    </row>
    <row r="117" spans="1:19" x14ac:dyDescent="0.3">
      <c r="A117" t="s">
        <v>197</v>
      </c>
      <c r="B117" s="3">
        <v>45407</v>
      </c>
      <c r="C117" t="s">
        <v>22</v>
      </c>
      <c r="D117" t="s">
        <v>262</v>
      </c>
      <c r="E117" t="s">
        <v>214</v>
      </c>
      <c r="F117" t="s">
        <v>25</v>
      </c>
      <c r="G117" t="s">
        <v>206</v>
      </c>
      <c r="H117">
        <v>1</v>
      </c>
      <c r="I117">
        <v>49000</v>
      </c>
      <c r="J117">
        <v>0.08</v>
      </c>
      <c r="K117">
        <v>45080</v>
      </c>
      <c r="L117">
        <f>Table3_1[[#This Row],[Quantity]]*Table3_1[[#This Row],[Unit_Price]]</f>
        <v>49000</v>
      </c>
      <c r="M117" t="s">
        <v>211</v>
      </c>
      <c r="N117">
        <f>YEAR(Table3_1[[#This Row],[Order_Date]])</f>
        <v>2024</v>
      </c>
      <c r="O117" t="str">
        <f>TEXT(Table3_1[[#This Row],[Order_Date]],"mmm")</f>
        <v>Apr</v>
      </c>
      <c r="P117" t="str">
        <f>TEXT(Table3_1[[#This Row],[Order_Date]],"yyyy-mm")</f>
        <v>2024-04</v>
      </c>
      <c r="Q117">
        <f>1</f>
        <v>1</v>
      </c>
      <c r="R117">
        <f>Table3_1[[#This Row],[Quantity]]*Table3_1[[#This Row],[Unit_Price]]*Table3_1[[#This Row],[Discount]]</f>
        <v>3920</v>
      </c>
      <c r="S117" t="str">
        <f>IF(Table3_1[[#This Row],[Final_sales]]&gt;=50000,"High Value",IF(Table3_1[[#This Row],[Final_sales]]&lt;=25000,"Medium Value","Low Value"))</f>
        <v>Low Value</v>
      </c>
    </row>
    <row r="118" spans="1:19" x14ac:dyDescent="0.3">
      <c r="A118" t="s">
        <v>199</v>
      </c>
      <c r="B118" s="3">
        <v>45408</v>
      </c>
      <c r="C118" t="s">
        <v>60</v>
      </c>
      <c r="D118" t="s">
        <v>263</v>
      </c>
      <c r="E118" t="s">
        <v>218</v>
      </c>
      <c r="F118" t="s">
        <v>15</v>
      </c>
      <c r="G118" t="s">
        <v>16</v>
      </c>
      <c r="H118">
        <v>2</v>
      </c>
      <c r="I118">
        <v>34000</v>
      </c>
      <c r="J118">
        <v>0.1</v>
      </c>
      <c r="K118">
        <v>61200</v>
      </c>
      <c r="L118">
        <f>Table3_1[[#This Row],[Quantity]]*Table3_1[[#This Row],[Unit_Price]]</f>
        <v>68000</v>
      </c>
      <c r="M118" t="s">
        <v>211</v>
      </c>
      <c r="N118">
        <f>YEAR(Table3_1[[#This Row],[Order_Date]])</f>
        <v>2024</v>
      </c>
      <c r="O118" t="str">
        <f>TEXT(Table3_1[[#This Row],[Order_Date]],"mmm")</f>
        <v>Apr</v>
      </c>
      <c r="P118" t="str">
        <f>TEXT(Table3_1[[#This Row],[Order_Date]],"yyyy-mm")</f>
        <v>2024-04</v>
      </c>
      <c r="Q118">
        <f>1</f>
        <v>1</v>
      </c>
      <c r="R118">
        <f>Table3_1[[#This Row],[Quantity]]*Table3_1[[#This Row],[Unit_Price]]*Table3_1[[#This Row],[Discount]]</f>
        <v>6800</v>
      </c>
      <c r="S118" t="str">
        <f>IF(Table3_1[[#This Row],[Final_sales]]&gt;=50000,"High Value",IF(Table3_1[[#This Row],[Final_sales]]&lt;=25000,"Medium Value","Low Value"))</f>
        <v>High Value</v>
      </c>
    </row>
    <row r="119" spans="1:19" x14ac:dyDescent="0.3">
      <c r="A119" t="s">
        <v>201</v>
      </c>
      <c r="B119" s="3">
        <v>45409</v>
      </c>
      <c r="C119" t="s">
        <v>48</v>
      </c>
      <c r="D119" t="s">
        <v>264</v>
      </c>
      <c r="E119" t="s">
        <v>220</v>
      </c>
      <c r="F119" t="s">
        <v>40</v>
      </c>
      <c r="G119" t="s">
        <v>207</v>
      </c>
      <c r="H119">
        <v>1</v>
      </c>
      <c r="I119">
        <v>44000</v>
      </c>
      <c r="J119">
        <v>0.05</v>
      </c>
      <c r="K119">
        <v>41800</v>
      </c>
      <c r="L119">
        <f>Table3_1[[#This Row],[Quantity]]*Table3_1[[#This Row],[Unit_Price]]</f>
        <v>44000</v>
      </c>
      <c r="M119" t="s">
        <v>211</v>
      </c>
      <c r="N119">
        <f>YEAR(Table3_1[[#This Row],[Order_Date]])</f>
        <v>2024</v>
      </c>
      <c r="O119" t="str">
        <f>TEXT(Table3_1[[#This Row],[Order_Date]],"mmm")</f>
        <v>Apr</v>
      </c>
      <c r="P119" t="str">
        <f>TEXT(Table3_1[[#This Row],[Order_Date]],"yyyy-mm")</f>
        <v>2024-04</v>
      </c>
      <c r="Q119">
        <f>1</f>
        <v>1</v>
      </c>
      <c r="R119">
        <f>Table3_1[[#This Row],[Quantity]]*Table3_1[[#This Row],[Unit_Price]]*Table3_1[[#This Row],[Discount]]</f>
        <v>2200</v>
      </c>
      <c r="S119" t="str">
        <f>IF(Table3_1[[#This Row],[Final_sales]]&gt;=50000,"High Value",IF(Table3_1[[#This Row],[Final_sales]]&lt;=25000,"Medium Value","Low Value"))</f>
        <v>Low Value</v>
      </c>
    </row>
    <row r="120" spans="1:19" x14ac:dyDescent="0.3">
      <c r="A120" t="s">
        <v>203</v>
      </c>
      <c r="B120" s="3">
        <v>45410</v>
      </c>
      <c r="C120" t="s">
        <v>42</v>
      </c>
      <c r="D120" t="s">
        <v>209</v>
      </c>
      <c r="E120" t="s">
        <v>210</v>
      </c>
      <c r="F120" t="s">
        <v>20</v>
      </c>
      <c r="G120" t="s">
        <v>16</v>
      </c>
      <c r="H120">
        <v>2</v>
      </c>
      <c r="I120">
        <v>17500</v>
      </c>
      <c r="J120">
        <v>0</v>
      </c>
      <c r="K120">
        <v>35000</v>
      </c>
      <c r="L120">
        <f>Table3_1[[#This Row],[Quantity]]*Table3_1[[#This Row],[Unit_Price]]</f>
        <v>35000</v>
      </c>
      <c r="M120" t="s">
        <v>211</v>
      </c>
      <c r="N120">
        <f>YEAR(Table3_1[[#This Row],[Order_Date]])</f>
        <v>2024</v>
      </c>
      <c r="O120" t="str">
        <f>TEXT(Table3_1[[#This Row],[Order_Date]],"mmm")</f>
        <v>Apr</v>
      </c>
      <c r="P120" t="str">
        <f>TEXT(Table3_1[[#This Row],[Order_Date]],"yyyy-mm")</f>
        <v>2024-04</v>
      </c>
      <c r="Q120">
        <f>1</f>
        <v>1</v>
      </c>
      <c r="R120">
        <f>Table3_1[[#This Row],[Quantity]]*Table3_1[[#This Row],[Unit_Price]]*Table3_1[[#This Row],[Discount]]</f>
        <v>0</v>
      </c>
      <c r="S120" t="str">
        <f>IF(Table3_1[[#This Row],[Final_sales]]&gt;=50000,"High Value",IF(Table3_1[[#This Row],[Final_sales]]&lt;=25000,"Medium Value","Low Value"))</f>
        <v>Low Value</v>
      </c>
    </row>
    <row r="121" spans="1:19" x14ac:dyDescent="0.3">
      <c r="A121" t="s">
        <v>204</v>
      </c>
      <c r="B121" s="3">
        <v>45411</v>
      </c>
      <c r="C121" t="s">
        <v>22</v>
      </c>
      <c r="D121" t="s">
        <v>265</v>
      </c>
      <c r="E121" t="s">
        <v>214</v>
      </c>
      <c r="F121" t="s">
        <v>43</v>
      </c>
      <c r="G121" t="s">
        <v>16</v>
      </c>
      <c r="H121">
        <v>1</v>
      </c>
      <c r="I121">
        <v>60000</v>
      </c>
      <c r="J121">
        <v>0.1</v>
      </c>
      <c r="K121">
        <v>54000</v>
      </c>
      <c r="L121">
        <f>Table3_1[[#This Row],[Quantity]]*Table3_1[[#This Row],[Unit_Price]]</f>
        <v>60000</v>
      </c>
      <c r="M121" t="s">
        <v>211</v>
      </c>
      <c r="N121">
        <f>YEAR(Table3_1[[#This Row],[Order_Date]])</f>
        <v>2024</v>
      </c>
      <c r="O121" t="str">
        <f>TEXT(Table3_1[[#This Row],[Order_Date]],"mmm")</f>
        <v>Apr</v>
      </c>
      <c r="P121" t="str">
        <f>TEXT(Table3_1[[#This Row],[Order_Date]],"yyyy-mm")</f>
        <v>2024-04</v>
      </c>
      <c r="Q121">
        <f>1</f>
        <v>1</v>
      </c>
      <c r="R121">
        <f>Table3_1[[#This Row],[Quantity]]*Table3_1[[#This Row],[Unit_Price]]*Table3_1[[#This Row],[Discount]]</f>
        <v>6000</v>
      </c>
      <c r="S121" t="str">
        <f>IF(Table3_1[[#This Row],[Final_sales]]&gt;=50000,"High Value",IF(Table3_1[[#This Row],[Final_sales]]&lt;=25000,"Medium Value","Low Value"))</f>
        <v>High Value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BF2B8-AA92-4054-A706-167DF11783BE}">
  <dimension ref="A3:E4"/>
  <sheetViews>
    <sheetView showGridLines="0" workbookViewId="0">
      <selection activeCell="G8" sqref="G8"/>
    </sheetView>
  </sheetViews>
  <sheetFormatPr defaultRowHeight="14.4" x14ac:dyDescent="0.3"/>
  <cols>
    <col min="1" max="1" width="14.44140625" bestFit="1" customWidth="1"/>
    <col min="2" max="2" width="11.77734375" bestFit="1" customWidth="1"/>
    <col min="3" max="3" width="16.6640625" customWidth="1"/>
    <col min="4" max="4" width="13.6640625" customWidth="1"/>
    <col min="5" max="5" width="19.33203125" bestFit="1" customWidth="1"/>
  </cols>
  <sheetData>
    <row r="3" spans="1:5" x14ac:dyDescent="0.3">
      <c r="A3" s="6" t="s">
        <v>274</v>
      </c>
      <c r="B3" s="6" t="s">
        <v>275</v>
      </c>
      <c r="C3" s="6" t="s">
        <v>276</v>
      </c>
      <c r="D3" s="6" t="s">
        <v>277</v>
      </c>
      <c r="E3" s="6" t="s">
        <v>282</v>
      </c>
    </row>
    <row r="4" spans="1:5" ht="15.6" x14ac:dyDescent="0.3">
      <c r="A4" s="7">
        <v>5138670</v>
      </c>
      <c r="B4" s="8">
        <v>120</v>
      </c>
      <c r="C4" s="9">
        <v>5568800</v>
      </c>
      <c r="D4" s="9">
        <v>430130</v>
      </c>
      <c r="E4" s="9">
        <v>42822.25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4E7AA-12EF-4C6B-B9F4-3646F6D6AEEB}">
  <dimension ref="A3:B7"/>
  <sheetViews>
    <sheetView showGridLines="0" workbookViewId="0">
      <selection activeCell="K14" sqref="K14"/>
    </sheetView>
  </sheetViews>
  <sheetFormatPr defaultRowHeight="14.4" x14ac:dyDescent="0.3"/>
  <cols>
    <col min="1" max="1" width="9" bestFit="1" customWidth="1"/>
    <col min="2" max="2" width="14.44140625" bestFit="1" customWidth="1"/>
    <col min="3" max="3" width="11.77734375" bestFit="1" customWidth="1"/>
  </cols>
  <sheetData>
    <row r="3" spans="1:2" x14ac:dyDescent="0.3">
      <c r="A3" s="6" t="s">
        <v>2</v>
      </c>
      <c r="B3" s="6" t="s">
        <v>274</v>
      </c>
    </row>
    <row r="4" spans="1:2" ht="15.6" x14ac:dyDescent="0.3">
      <c r="A4" s="10" t="s">
        <v>60</v>
      </c>
      <c r="B4" s="9">
        <v>1195695</v>
      </c>
    </row>
    <row r="5" spans="1:2" ht="15.6" x14ac:dyDescent="0.3">
      <c r="A5" s="10" t="s">
        <v>42</v>
      </c>
      <c r="B5" s="9">
        <v>1225140</v>
      </c>
    </row>
    <row r="6" spans="1:2" ht="15.6" x14ac:dyDescent="0.3">
      <c r="A6" s="10" t="s">
        <v>22</v>
      </c>
      <c r="B6" s="9">
        <v>1505090</v>
      </c>
    </row>
    <row r="7" spans="1:2" ht="15.6" x14ac:dyDescent="0.3">
      <c r="A7" s="10" t="s">
        <v>48</v>
      </c>
      <c r="B7" s="9">
        <v>1212745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8E0E3-5B36-4B43-9E94-99D4724481C3}">
  <dimension ref="A3:B6"/>
  <sheetViews>
    <sheetView showGridLines="0" workbookViewId="0">
      <selection activeCell="L24" sqref="L24"/>
    </sheetView>
  </sheetViews>
  <sheetFormatPr defaultRowHeight="14.4" x14ac:dyDescent="0.3"/>
  <cols>
    <col min="1" max="1" width="18.88671875" bestFit="1" customWidth="1"/>
    <col min="2" max="3" width="14.44140625" bestFit="1" customWidth="1"/>
    <col min="4" max="4" width="17.44140625" bestFit="1" customWidth="1"/>
    <col min="5" max="5" width="12.88671875" bestFit="1" customWidth="1"/>
  </cols>
  <sheetData>
    <row r="3" spans="1:2" x14ac:dyDescent="0.3">
      <c r="A3" s="6" t="s">
        <v>6</v>
      </c>
      <c r="B3" s="6" t="s">
        <v>274</v>
      </c>
    </row>
    <row r="4" spans="1:2" ht="15.6" x14ac:dyDescent="0.3">
      <c r="A4" s="10" t="s">
        <v>207</v>
      </c>
      <c r="B4" s="9">
        <v>705650</v>
      </c>
    </row>
    <row r="5" spans="1:2" ht="15.6" x14ac:dyDescent="0.3">
      <c r="A5" s="10" t="s">
        <v>16</v>
      </c>
      <c r="B5" s="9">
        <v>3101930</v>
      </c>
    </row>
    <row r="6" spans="1:2" ht="15.6" x14ac:dyDescent="0.3">
      <c r="A6" s="10" t="s">
        <v>206</v>
      </c>
      <c r="B6" s="9">
        <v>1331090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37B1-1438-4C96-972E-BB7B8544310A}">
  <dimension ref="A3:B7"/>
  <sheetViews>
    <sheetView showGridLines="0" workbookViewId="0">
      <selection activeCell="M26" sqref="M25:M26"/>
    </sheetView>
  </sheetViews>
  <sheetFormatPr defaultRowHeight="14.4" x14ac:dyDescent="0.3"/>
  <cols>
    <col min="1" max="1" width="13.5546875" bestFit="1" customWidth="1"/>
    <col min="2" max="2" width="14.44140625" bestFit="1" customWidth="1"/>
  </cols>
  <sheetData>
    <row r="3" spans="1:2" x14ac:dyDescent="0.3">
      <c r="A3" s="6" t="s">
        <v>283</v>
      </c>
      <c r="B3" s="6" t="s">
        <v>274</v>
      </c>
    </row>
    <row r="4" spans="1:2" ht="15.6" x14ac:dyDescent="0.3">
      <c r="A4" s="10" t="s">
        <v>278</v>
      </c>
      <c r="B4" s="9">
        <v>1177635</v>
      </c>
    </row>
    <row r="5" spans="1:2" ht="15.6" x14ac:dyDescent="0.3">
      <c r="A5" s="10" t="s">
        <v>279</v>
      </c>
      <c r="B5" s="9">
        <v>1291065</v>
      </c>
    </row>
    <row r="6" spans="1:2" ht="15.6" x14ac:dyDescent="0.3">
      <c r="A6" s="10" t="s">
        <v>280</v>
      </c>
      <c r="B6" s="9">
        <v>1387500</v>
      </c>
    </row>
    <row r="7" spans="1:2" ht="15.6" x14ac:dyDescent="0.3">
      <c r="A7" s="10" t="s">
        <v>281</v>
      </c>
      <c r="B7" s="9">
        <v>1282470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83EEC-B62E-4D0C-BA7F-70B7B6A7DB57}">
  <dimension ref="A1:O25"/>
  <sheetViews>
    <sheetView showGridLines="0" showRowColHeaders="0" tabSelected="1" zoomScale="85" zoomScaleNormal="85" workbookViewId="0">
      <selection activeCell="N32" sqref="N32"/>
    </sheetView>
  </sheetViews>
  <sheetFormatPr defaultRowHeight="14.4" x14ac:dyDescent="0.3"/>
  <cols>
    <col min="1" max="1" width="26.88671875" bestFit="1" customWidth="1"/>
    <col min="2" max="2" width="8.77734375" customWidth="1"/>
    <col min="3" max="3" width="18.5546875" bestFit="1" customWidth="1"/>
    <col min="5" max="5" width="21.44140625" bestFit="1" customWidth="1"/>
    <col min="7" max="7" width="25.33203125" customWidth="1"/>
    <col min="10" max="10" width="13.44140625" bestFit="1" customWidth="1"/>
    <col min="11" max="11" width="24.33203125" bestFit="1" customWidth="1"/>
    <col min="12" max="12" width="19.5546875" bestFit="1" customWidth="1"/>
  </cols>
  <sheetData>
    <row r="1" spans="1:15" ht="25.8" customHeight="1" x14ac:dyDescent="0.55000000000000004">
      <c r="A1" s="17">
        <f>GETPIVOTDATA("Total_Sales",Pivot_1!$A$3)</f>
        <v>5138670</v>
      </c>
      <c r="B1" s="16"/>
      <c r="C1" s="18">
        <f>GETPIVOTDATA("Total_Orders",Pivot_1!$A$3)</f>
        <v>120</v>
      </c>
      <c r="D1" s="16"/>
      <c r="E1" s="17">
        <f>GETPIVOTDATA("Average_Order-Value",Pivot_1!$A$3)</f>
        <v>42822.25</v>
      </c>
      <c r="F1" s="16"/>
      <c r="G1" s="17">
        <f>GETPIVOTDATA("Total_Discount",Pivot_1!$A$3)</f>
        <v>430130</v>
      </c>
      <c r="O1" s="15" t="s">
        <v>291</v>
      </c>
    </row>
    <row r="2" spans="1:15" ht="19.2" customHeight="1" x14ac:dyDescent="0.3">
      <c r="A2" s="11" t="s">
        <v>285</v>
      </c>
      <c r="B2" s="12"/>
      <c r="C2" s="11" t="s">
        <v>284</v>
      </c>
      <c r="D2" s="12"/>
      <c r="E2" s="11" t="s">
        <v>286</v>
      </c>
      <c r="F2" s="12"/>
      <c r="G2" s="11" t="s">
        <v>287</v>
      </c>
    </row>
    <row r="22" spans="9:9" ht="20.399999999999999" x14ac:dyDescent="0.45">
      <c r="I22" s="13" t="s">
        <v>292</v>
      </c>
    </row>
    <row r="23" spans="9:9" ht="20.399999999999999" x14ac:dyDescent="0.45">
      <c r="I23" s="14" t="s">
        <v>293</v>
      </c>
    </row>
    <row r="24" spans="9:9" ht="20.399999999999999" x14ac:dyDescent="0.45">
      <c r="I24" s="14" t="s">
        <v>294</v>
      </c>
    </row>
    <row r="25" spans="9:9" ht="20.399999999999999" x14ac:dyDescent="0.45">
      <c r="I25" s="14" t="s">
        <v>295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8C09A6-9501-4C43-8A0C-EC81944B8F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Category</vt:lpstr>
      <vt:lpstr>Clean_Data</vt:lpstr>
      <vt:lpstr>Pivot_1</vt:lpstr>
      <vt:lpstr>Pivot_2</vt:lpstr>
      <vt:lpstr>Pivot_3</vt:lpstr>
      <vt:lpstr>Pivot_4</vt: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 adhithya</dc:creator>
  <cp:lastModifiedBy>bharath adhithya</cp:lastModifiedBy>
  <dcterms:created xsi:type="dcterms:W3CDTF">2026-02-04T14:12:50Z</dcterms:created>
  <dcterms:modified xsi:type="dcterms:W3CDTF">2026-02-08T05:35:49Z</dcterms:modified>
</cp:coreProperties>
</file>